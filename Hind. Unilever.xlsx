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c67147f803addd22/Attachments/Desktop/"/>
    </mc:Choice>
  </mc:AlternateContent>
  <xr:revisionPtr revIDLastSave="1752" documentId="8_{A6BA70F8-8E03-4C01-A0E4-588AB36280A8}" xr6:coauthVersionLast="47" xr6:coauthVersionMax="47" xr10:uidLastSave="{3944C8D7-3750-4730-8FFC-74557EDF5167}"/>
  <bookViews>
    <workbookView xWindow="-110" yWindow="-110" windowWidth="19420" windowHeight="10300" firstSheet="20" activeTab="22" xr2:uid="{00000000-000D-0000-FFFF-FFFF00000000}"/>
  </bookViews>
  <sheets>
    <sheet name="Profit &amp; Loss" sheetId="1" r:id="rId1"/>
    <sheet name="Balance Sheet" sheetId="2" r:id="rId2"/>
    <sheet name="Cash Flow" sheetId="4" r:id="rId3"/>
    <sheet name="Customization" sheetId="5" r:id="rId4"/>
    <sheet name="Data Sheet" sheetId="6" r:id="rId5"/>
    <sheet name="Histarical " sheetId="7" r:id="rId6"/>
    <sheet name="Budget_Assumptions" sheetId="8" r:id="rId7"/>
    <sheet name="Budgets" sheetId="9" r:id="rId8"/>
    <sheet name="Quarters" sheetId="3" r:id="rId9"/>
    <sheet name="Revenue Analysis" sheetId="11" r:id="rId10"/>
    <sheet name="Cost Analysis" sheetId="12" r:id="rId11"/>
    <sheet name="Operating ProfitAnalysis" sheetId="13" r:id="rId12"/>
    <sheet name="EBIT Analysis" sheetId="14" r:id="rId13"/>
    <sheet name="Other Income" sheetId="15" r:id="rId14"/>
    <sheet name="Intrest Exp" sheetId="16" r:id="rId15"/>
    <sheet name="EBT" sheetId="17" r:id="rId16"/>
    <sheet name="TAX" sheetId="18" r:id="rId17"/>
    <sheet name="Net Profit" sheetId="19" r:id="rId18"/>
    <sheet name="Executive Summary " sheetId="20" r:id="rId19"/>
    <sheet name="BMetricudget_VS_Actuales" sheetId="10" r:id="rId20"/>
    <sheet name="Rolling Forecasting" sheetId="21" r:id="rId21"/>
    <sheet name="RF Summary" sheetId="22" r:id="rId22"/>
    <sheet name="Dashbord" sheetId="23" r:id="rId23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R4" i="23" l="1"/>
  <c r="AR3" i="23"/>
  <c r="AR2" i="23"/>
  <c r="AQ4" i="23"/>
  <c r="AQ3" i="23"/>
  <c r="AQ2" i="23"/>
  <c r="AP4" i="23"/>
  <c r="AP3" i="23"/>
  <c r="AP2" i="23"/>
  <c r="AO4" i="23"/>
  <c r="AO3" i="23"/>
  <c r="AO2" i="23"/>
  <c r="AN3" i="23"/>
  <c r="AN2" i="23"/>
  <c r="AN4" i="23"/>
  <c r="AM4" i="23"/>
  <c r="AM3" i="23"/>
  <c r="AM2" i="23"/>
  <c r="AL4" i="23"/>
  <c r="AL3" i="23"/>
  <c r="AL2" i="23"/>
  <c r="C5" i="23"/>
  <c r="C4" i="23"/>
  <c r="C3" i="23"/>
  <c r="C2" i="23"/>
  <c r="B5" i="23"/>
  <c r="B4" i="23"/>
  <c r="E4" i="23" s="1"/>
  <c r="B3" i="23"/>
  <c r="E3" i="23" s="1"/>
  <c r="B2" i="23"/>
  <c r="E2" i="23" s="1"/>
  <c r="A5" i="23"/>
  <c r="A4" i="23"/>
  <c r="A3" i="23"/>
  <c r="A2" i="23"/>
  <c r="H7" i="19"/>
  <c r="H6" i="19"/>
  <c r="H5" i="19"/>
  <c r="H4" i="19"/>
  <c r="G5" i="19"/>
  <c r="G4" i="19"/>
  <c r="F4" i="19"/>
  <c r="E7" i="19"/>
  <c r="E6" i="19"/>
  <c r="E5" i="19"/>
  <c r="E4" i="19"/>
  <c r="D7" i="19"/>
  <c r="D6" i="19"/>
  <c r="D5" i="19"/>
  <c r="D4" i="19"/>
  <c r="B1" i="19"/>
  <c r="G7" i="19"/>
  <c r="B7" i="19"/>
  <c r="B6" i="19"/>
  <c r="B5" i="19"/>
  <c r="B4" i="19"/>
  <c r="F7" i="18"/>
  <c r="F6" i="18"/>
  <c r="F5" i="18"/>
  <c r="F4" i="18"/>
  <c r="H7" i="18"/>
  <c r="H6" i="18"/>
  <c r="H5" i="18"/>
  <c r="H4" i="18"/>
  <c r="E7" i="18"/>
  <c r="E6" i="18"/>
  <c r="E5" i="18"/>
  <c r="G5" i="18" s="1"/>
  <c r="E4" i="18"/>
  <c r="D7" i="18"/>
  <c r="D6" i="18"/>
  <c r="D5" i="18"/>
  <c r="D4" i="18"/>
  <c r="B1" i="18"/>
  <c r="B7" i="18"/>
  <c r="B6" i="18"/>
  <c r="B5" i="18"/>
  <c r="B4" i="18"/>
  <c r="B1" i="17"/>
  <c r="H7" i="17"/>
  <c r="H6" i="17"/>
  <c r="H5" i="17"/>
  <c r="H4" i="17"/>
  <c r="G4" i="17"/>
  <c r="F4" i="17"/>
  <c r="E7" i="17"/>
  <c r="E6" i="17"/>
  <c r="E5" i="17"/>
  <c r="E4" i="17"/>
  <c r="D7" i="17"/>
  <c r="G7" i="17" s="1"/>
  <c r="D6" i="17"/>
  <c r="G6" i="17" s="1"/>
  <c r="D5" i="17"/>
  <c r="D4" i="17"/>
  <c r="B7" i="17"/>
  <c r="B6" i="17"/>
  <c r="B5" i="17"/>
  <c r="B4" i="17"/>
  <c r="H7" i="16"/>
  <c r="H6" i="16"/>
  <c r="H5" i="16"/>
  <c r="H4" i="16"/>
  <c r="B1" i="16"/>
  <c r="G7" i="16"/>
  <c r="G6" i="16"/>
  <c r="G5" i="16"/>
  <c r="G4" i="16"/>
  <c r="F7" i="16"/>
  <c r="F6" i="16"/>
  <c r="F5" i="16"/>
  <c r="F4" i="16"/>
  <c r="E7" i="16"/>
  <c r="E6" i="16"/>
  <c r="E5" i="16"/>
  <c r="E4" i="16"/>
  <c r="D7" i="16"/>
  <c r="D6" i="16"/>
  <c r="D5" i="16"/>
  <c r="D4" i="16"/>
  <c r="B7" i="16"/>
  <c r="B6" i="16"/>
  <c r="B5" i="16"/>
  <c r="B4" i="16"/>
  <c r="H7" i="15"/>
  <c r="H6" i="15"/>
  <c r="H5" i="15"/>
  <c r="H4" i="15"/>
  <c r="G7" i="15"/>
  <c r="G6" i="15"/>
  <c r="G5" i="15"/>
  <c r="G4" i="15"/>
  <c r="F7" i="15"/>
  <c r="F6" i="15"/>
  <c r="F5" i="15"/>
  <c r="F4" i="15"/>
  <c r="E7" i="15"/>
  <c r="E6" i="15"/>
  <c r="E5" i="15"/>
  <c r="E4" i="15"/>
  <c r="D7" i="15"/>
  <c r="D6" i="15"/>
  <c r="D5" i="15"/>
  <c r="D4" i="15"/>
  <c r="B1" i="15"/>
  <c r="B7" i="15"/>
  <c r="B6" i="15"/>
  <c r="B5" i="15"/>
  <c r="B4" i="15"/>
  <c r="H7" i="14"/>
  <c r="H6" i="14"/>
  <c r="H5" i="14"/>
  <c r="H4" i="14"/>
  <c r="G7" i="14"/>
  <c r="G6" i="14"/>
  <c r="G5" i="14"/>
  <c r="G4" i="14"/>
  <c r="F7" i="14"/>
  <c r="F6" i="14"/>
  <c r="F5" i="14"/>
  <c r="F4" i="14"/>
  <c r="E7" i="14"/>
  <c r="E6" i="14"/>
  <c r="E5" i="14"/>
  <c r="E4" i="14"/>
  <c r="D7" i="14"/>
  <c r="D6" i="14"/>
  <c r="D5" i="14"/>
  <c r="D4" i="14"/>
  <c r="B7" i="14"/>
  <c r="B6" i="14"/>
  <c r="B5" i="14"/>
  <c r="B4" i="14"/>
  <c r="B1" i="14"/>
  <c r="B1" i="13"/>
  <c r="H7" i="13"/>
  <c r="H6" i="13"/>
  <c r="H5" i="13"/>
  <c r="H4" i="13"/>
  <c r="G7" i="13"/>
  <c r="G6" i="13"/>
  <c r="G5" i="13"/>
  <c r="G4" i="13"/>
  <c r="F7" i="13"/>
  <c r="F6" i="13"/>
  <c r="F5" i="13"/>
  <c r="F4" i="13"/>
  <c r="E7" i="13"/>
  <c r="E6" i="13"/>
  <c r="E5" i="13"/>
  <c r="E4" i="13"/>
  <c r="D7" i="13"/>
  <c r="D6" i="13"/>
  <c r="D5" i="13"/>
  <c r="D4" i="13"/>
  <c r="B7" i="13"/>
  <c r="B6" i="13"/>
  <c r="B5" i="13"/>
  <c r="B4" i="13"/>
  <c r="D4" i="12"/>
  <c r="F4" i="12" s="1"/>
  <c r="E4" i="12"/>
  <c r="H7" i="12"/>
  <c r="H6" i="12"/>
  <c r="H5" i="12"/>
  <c r="G7" i="12"/>
  <c r="G6" i="12"/>
  <c r="G5" i="12"/>
  <c r="G4" i="12"/>
  <c r="F7" i="12"/>
  <c r="F6" i="12"/>
  <c r="F5" i="12"/>
  <c r="E7" i="12"/>
  <c r="E6" i="12"/>
  <c r="E5" i="12"/>
  <c r="D7" i="12"/>
  <c r="D6" i="12"/>
  <c r="D5" i="12"/>
  <c r="B7" i="12"/>
  <c r="B6" i="12"/>
  <c r="B5" i="12"/>
  <c r="B4" i="12"/>
  <c r="B1" i="12"/>
  <c r="H4" i="11"/>
  <c r="H5" i="11"/>
  <c r="H6" i="11"/>
  <c r="H3" i="11"/>
  <c r="G6" i="11"/>
  <c r="G5" i="11"/>
  <c r="G4" i="11"/>
  <c r="G3" i="11"/>
  <c r="F6" i="11"/>
  <c r="F5" i="11"/>
  <c r="F4" i="11"/>
  <c r="F3" i="11"/>
  <c r="E6" i="11"/>
  <c r="E5" i="11"/>
  <c r="E4" i="11"/>
  <c r="E3" i="11"/>
  <c r="D6" i="11"/>
  <c r="D5" i="11"/>
  <c r="D4" i="11"/>
  <c r="D3" i="11"/>
  <c r="B6" i="11"/>
  <c r="B5" i="11"/>
  <c r="B4" i="11"/>
  <c r="B3" i="11"/>
  <c r="B1" i="11"/>
  <c r="X14" i="10"/>
  <c r="W5" i="10"/>
  <c r="V14" i="10"/>
  <c r="V13" i="10"/>
  <c r="V12" i="10"/>
  <c r="V11" i="10"/>
  <c r="V10" i="10"/>
  <c r="V9" i="10"/>
  <c r="V8" i="10"/>
  <c r="V7" i="10"/>
  <c r="V6" i="10"/>
  <c r="V5" i="10"/>
  <c r="U13" i="10"/>
  <c r="U11" i="10"/>
  <c r="U10" i="10"/>
  <c r="U8" i="10"/>
  <c r="X8" i="10" s="1"/>
  <c r="U6" i="10"/>
  <c r="U5" i="10"/>
  <c r="X11" i="10"/>
  <c r="P14" i="10"/>
  <c r="P13" i="10"/>
  <c r="P12" i="10"/>
  <c r="P11" i="10"/>
  <c r="P10" i="10"/>
  <c r="P9" i="10"/>
  <c r="P8" i="10"/>
  <c r="P7" i="10"/>
  <c r="P6" i="10"/>
  <c r="P5" i="10"/>
  <c r="O13" i="10"/>
  <c r="O11" i="10"/>
  <c r="O10" i="10"/>
  <c r="O8" i="10"/>
  <c r="O6" i="10"/>
  <c r="O5" i="10"/>
  <c r="J14" i="10"/>
  <c r="J13" i="10"/>
  <c r="J12" i="10"/>
  <c r="J11" i="10"/>
  <c r="J10" i="10"/>
  <c r="J9" i="10"/>
  <c r="J8" i="10"/>
  <c r="J7" i="10"/>
  <c r="J6" i="10"/>
  <c r="J5" i="10"/>
  <c r="I13" i="10"/>
  <c r="I11" i="10"/>
  <c r="I10" i="10"/>
  <c r="L10" i="10" s="1"/>
  <c r="I8" i="10"/>
  <c r="K8" i="10" s="1"/>
  <c r="I6" i="10"/>
  <c r="K6" i="10" s="1"/>
  <c r="I5" i="10"/>
  <c r="K5" i="10" s="1"/>
  <c r="D5" i="10"/>
  <c r="D14" i="10"/>
  <c r="D13" i="10"/>
  <c r="D12" i="10"/>
  <c r="D11" i="10"/>
  <c r="D10" i="10"/>
  <c r="D9" i="10"/>
  <c r="D8" i="10"/>
  <c r="F8" i="10" s="1"/>
  <c r="D7" i="10"/>
  <c r="D6" i="10"/>
  <c r="C13" i="10"/>
  <c r="C11" i="10"/>
  <c r="C10" i="10"/>
  <c r="C8" i="10"/>
  <c r="C6" i="10"/>
  <c r="C5" i="10"/>
  <c r="B1" i="10"/>
  <c r="B1" i="9"/>
  <c r="B1" i="8"/>
  <c r="C5" i="9"/>
  <c r="C11" i="9" s="1"/>
  <c r="I4" i="8"/>
  <c r="F3" i="9"/>
  <c r="E3" i="9"/>
  <c r="D3" i="9"/>
  <c r="C3" i="9"/>
  <c r="C32" i="7"/>
  <c r="H31" i="7"/>
  <c r="G31" i="7"/>
  <c r="F31" i="7"/>
  <c r="E31" i="7"/>
  <c r="D31" i="7"/>
  <c r="C31" i="7"/>
  <c r="I13" i="8"/>
  <c r="I12" i="8"/>
  <c r="I11" i="8"/>
  <c r="I10" i="8"/>
  <c r="I9" i="8"/>
  <c r="I8" i="8"/>
  <c r="I7" i="8"/>
  <c r="I6" i="8"/>
  <c r="I5" i="8"/>
  <c r="C4" i="8"/>
  <c r="B13" i="8"/>
  <c r="B12" i="8"/>
  <c r="B11" i="8"/>
  <c r="B10" i="8"/>
  <c r="B9" i="8"/>
  <c r="B8" i="8"/>
  <c r="B7" i="8"/>
  <c r="B6" i="8"/>
  <c r="B5" i="8"/>
  <c r="B4" i="8"/>
  <c r="H3" i="8"/>
  <c r="G3" i="8"/>
  <c r="F3" i="8"/>
  <c r="E3" i="8"/>
  <c r="D3" i="8"/>
  <c r="C3" i="8"/>
  <c r="E5" i="23" l="1"/>
  <c r="D2" i="23"/>
  <c r="D3" i="23"/>
  <c r="D4" i="23"/>
  <c r="D5" i="23"/>
  <c r="F6" i="19"/>
  <c r="G6" i="19"/>
  <c r="F5" i="19"/>
  <c r="F7" i="19"/>
  <c r="G7" i="18"/>
  <c r="G4" i="18"/>
  <c r="G6" i="18"/>
  <c r="F5" i="17"/>
  <c r="F7" i="17"/>
  <c r="G5" i="17"/>
  <c r="F6" i="17"/>
  <c r="H4" i="12"/>
  <c r="W10" i="10"/>
  <c r="C7" i="10"/>
  <c r="K11" i="10"/>
  <c r="L5" i="10"/>
  <c r="L6" i="10"/>
  <c r="L8" i="10"/>
  <c r="K13" i="10"/>
  <c r="X6" i="10"/>
  <c r="E8" i="10"/>
  <c r="R10" i="10"/>
  <c r="F11" i="10"/>
  <c r="R11" i="10"/>
  <c r="X5" i="10"/>
  <c r="R8" i="10"/>
  <c r="F13" i="10"/>
  <c r="I7" i="10"/>
  <c r="I9" i="10" s="1"/>
  <c r="W13" i="10"/>
  <c r="O7" i="10"/>
  <c r="O9" i="10" s="1"/>
  <c r="O12" i="10" s="1"/>
  <c r="Q5" i="10"/>
  <c r="F10" i="10"/>
  <c r="X10" i="10"/>
  <c r="X13" i="10"/>
  <c r="U7" i="10"/>
  <c r="W6" i="10"/>
  <c r="W8" i="10"/>
  <c r="W11" i="10"/>
  <c r="E10" i="10"/>
  <c r="E11" i="10"/>
  <c r="Q13" i="10"/>
  <c r="E13" i="10"/>
  <c r="Q8" i="10"/>
  <c r="Q10" i="10"/>
  <c r="E6" i="10"/>
  <c r="F7" i="10"/>
  <c r="E7" i="10"/>
  <c r="C9" i="10"/>
  <c r="L11" i="10"/>
  <c r="E5" i="10"/>
  <c r="K10" i="10"/>
  <c r="R13" i="10"/>
  <c r="F5" i="10"/>
  <c r="L13" i="10"/>
  <c r="F6" i="10"/>
  <c r="Q6" i="10"/>
  <c r="R5" i="10"/>
  <c r="Q11" i="10"/>
  <c r="R6" i="10"/>
  <c r="D5" i="9"/>
  <c r="C10" i="9"/>
  <c r="C13" i="9"/>
  <c r="C8" i="9"/>
  <c r="D6" i="9"/>
  <c r="C6" i="9"/>
  <c r="C7" i="9" s="1"/>
  <c r="C9" i="9" s="1"/>
  <c r="C12" i="9" s="1"/>
  <c r="C14" i="9" s="1"/>
  <c r="D7" i="7"/>
  <c r="D13" i="7"/>
  <c r="D19" i="7"/>
  <c r="D22" i="7"/>
  <c r="D28" i="7"/>
  <c r="C7" i="7"/>
  <c r="C8" i="7" s="1"/>
  <c r="H4" i="7"/>
  <c r="G4" i="7"/>
  <c r="F4" i="7"/>
  <c r="E4" i="7"/>
  <c r="D4" i="7"/>
  <c r="C4" i="7"/>
  <c r="H28" i="7"/>
  <c r="G28" i="7"/>
  <c r="F28" i="7"/>
  <c r="E28" i="7"/>
  <c r="C28" i="7"/>
  <c r="C29" i="7" s="1"/>
  <c r="H22" i="7"/>
  <c r="G22" i="7"/>
  <c r="F22" i="7"/>
  <c r="E22" i="7"/>
  <c r="C22" i="7"/>
  <c r="C23" i="7" s="1"/>
  <c r="H19" i="7"/>
  <c r="H20" i="7" s="1"/>
  <c r="G19" i="7"/>
  <c r="F19" i="7"/>
  <c r="E19" i="7"/>
  <c r="C19" i="7"/>
  <c r="H13" i="7"/>
  <c r="G13" i="7"/>
  <c r="F13" i="7"/>
  <c r="E13" i="7"/>
  <c r="C13" i="7"/>
  <c r="C14" i="7" s="1"/>
  <c r="H7" i="7"/>
  <c r="H8" i="7" s="1"/>
  <c r="G7" i="7"/>
  <c r="G8" i="7" s="1"/>
  <c r="F7" i="7"/>
  <c r="F8" i="7" s="1"/>
  <c r="E7" i="7"/>
  <c r="H3" i="7"/>
  <c r="G3" i="7"/>
  <c r="F3" i="7"/>
  <c r="E3" i="7"/>
  <c r="D3" i="7"/>
  <c r="C3" i="7"/>
  <c r="B1" i="7"/>
  <c r="C6" i="3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B6" i="6"/>
  <c r="C17" i="2"/>
  <c r="D17" i="2"/>
  <c r="E17" i="2"/>
  <c r="E20" i="2" s="1"/>
  <c r="F17" i="2"/>
  <c r="G17" i="2"/>
  <c r="H17" i="2"/>
  <c r="I17" i="2"/>
  <c r="J17" i="2"/>
  <c r="K17" i="2"/>
  <c r="C18" i="2"/>
  <c r="D18" i="2"/>
  <c r="E18" i="2"/>
  <c r="F18" i="2"/>
  <c r="G18" i="2"/>
  <c r="H18" i="2"/>
  <c r="H21" i="2" s="1"/>
  <c r="I18" i="2"/>
  <c r="J18" i="2"/>
  <c r="K18" i="2"/>
  <c r="B17" i="2"/>
  <c r="C4" i="2"/>
  <c r="D4" i="2"/>
  <c r="E4" i="2"/>
  <c r="E23" i="2" s="1"/>
  <c r="E5" i="2"/>
  <c r="F4" i="2"/>
  <c r="F23" i="2" s="1"/>
  <c r="G4" i="2"/>
  <c r="H4" i="2"/>
  <c r="H23" i="2" s="1"/>
  <c r="I4" i="2"/>
  <c r="I23" i="2" s="1"/>
  <c r="I5" i="2"/>
  <c r="J4" i="2"/>
  <c r="J5" i="2"/>
  <c r="K4" i="2"/>
  <c r="C5" i="2"/>
  <c r="D5" i="2"/>
  <c r="F5" i="2"/>
  <c r="G5" i="2"/>
  <c r="H5" i="2"/>
  <c r="K5" i="2"/>
  <c r="K23" i="2" s="1"/>
  <c r="C6" i="2"/>
  <c r="D6" i="2"/>
  <c r="E6" i="2"/>
  <c r="F6" i="2"/>
  <c r="G6" i="2"/>
  <c r="H6" i="2"/>
  <c r="I6" i="2"/>
  <c r="J6" i="2"/>
  <c r="K6" i="2"/>
  <c r="C7" i="2"/>
  <c r="C16" i="2" s="1"/>
  <c r="D7" i="2"/>
  <c r="E7" i="2"/>
  <c r="F7" i="2"/>
  <c r="G7" i="2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F13" i="2"/>
  <c r="G13" i="2"/>
  <c r="H13" i="2"/>
  <c r="H16" i="2" s="1"/>
  <c r="I13" i="2"/>
  <c r="J13" i="2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L4" i="1" s="1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L12" i="1" s="1"/>
  <c r="L13" i="1" s="1"/>
  <c r="L14" i="1" s="1"/>
  <c r="L25" i="1" s="1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C21" i="2" s="1"/>
  <c r="D4" i="1"/>
  <c r="D20" i="2" s="1"/>
  <c r="E4" i="1"/>
  <c r="F4" i="1"/>
  <c r="F20" i="2" s="1"/>
  <c r="G4" i="1"/>
  <c r="H4" i="1"/>
  <c r="I4" i="1"/>
  <c r="J4" i="1"/>
  <c r="J6" i="1" s="1"/>
  <c r="J19" i="1" s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D12" i="1"/>
  <c r="D23" i="2" s="1"/>
  <c r="E12" i="1"/>
  <c r="F12" i="1"/>
  <c r="F13" i="1" s="1"/>
  <c r="G12" i="1"/>
  <c r="G13" i="1" s="1"/>
  <c r="G14" i="1" s="1"/>
  <c r="H12" i="1"/>
  <c r="I12" i="1"/>
  <c r="I13" i="1" s="1"/>
  <c r="J12" i="1"/>
  <c r="J13" i="1" s="1"/>
  <c r="K12" i="1"/>
  <c r="K13" i="1" s="1"/>
  <c r="C15" i="1"/>
  <c r="D15" i="1"/>
  <c r="E15" i="1"/>
  <c r="F15" i="1"/>
  <c r="G15" i="1"/>
  <c r="H15" i="1"/>
  <c r="I15" i="1"/>
  <c r="J15" i="1"/>
  <c r="J14" i="1" s="1"/>
  <c r="K15" i="1"/>
  <c r="K14" i="1" s="1"/>
  <c r="B15" i="1"/>
  <c r="H13" i="1"/>
  <c r="B7" i="1"/>
  <c r="B4" i="1"/>
  <c r="B20" i="2" s="1"/>
  <c r="A1" i="1"/>
  <c r="A1" i="3" s="1"/>
  <c r="E1" i="6"/>
  <c r="H1" i="1" s="1"/>
  <c r="E1" i="2"/>
  <c r="E1" i="3"/>
  <c r="D16" i="2"/>
  <c r="C23" i="2"/>
  <c r="K16" i="2"/>
  <c r="F16" i="2"/>
  <c r="E6" i="1"/>
  <c r="E19" i="1"/>
  <c r="I6" i="1"/>
  <c r="I19" i="1" s="1"/>
  <c r="K6" i="1"/>
  <c r="K19" i="1" s="1"/>
  <c r="G6" i="1"/>
  <c r="G19" i="1" s="1"/>
  <c r="C6" i="1"/>
  <c r="C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G21" i="2"/>
  <c r="F21" i="2"/>
  <c r="E21" i="2"/>
  <c r="B18" i="2"/>
  <c r="B13" i="2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L15" i="1"/>
  <c r="B12" i="1"/>
  <c r="B13" i="1" s="1"/>
  <c r="B11" i="1"/>
  <c r="B10" i="1"/>
  <c r="B9" i="1"/>
  <c r="B8" i="1"/>
  <c r="B3" i="1"/>
  <c r="E14" i="3"/>
  <c r="I14" i="3"/>
  <c r="G14" i="3"/>
  <c r="G20" i="2"/>
  <c r="K20" i="2"/>
  <c r="J20" i="2"/>
  <c r="C20" i="2"/>
  <c r="L11" i="1"/>
  <c r="L10" i="1"/>
  <c r="L6" i="1"/>
  <c r="H23" i="1"/>
  <c r="J23" i="1"/>
  <c r="L5" i="1"/>
  <c r="M11" i="1"/>
  <c r="L7" i="10" l="1"/>
  <c r="K7" i="10"/>
  <c r="Q7" i="10"/>
  <c r="X7" i="10"/>
  <c r="W7" i="10"/>
  <c r="U9" i="10"/>
  <c r="L9" i="10"/>
  <c r="K9" i="10"/>
  <c r="I12" i="10"/>
  <c r="C12" i="10"/>
  <c r="E9" i="10"/>
  <c r="F9" i="10"/>
  <c r="R7" i="10"/>
  <c r="D11" i="9"/>
  <c r="D8" i="9"/>
  <c r="D10" i="9"/>
  <c r="E5" i="9"/>
  <c r="D13" i="9"/>
  <c r="D7" i="9"/>
  <c r="D9" i="9" s="1"/>
  <c r="D12" i="9" s="1"/>
  <c r="D14" i="9" s="1"/>
  <c r="C20" i="7"/>
  <c r="D29" i="7"/>
  <c r="E29" i="7"/>
  <c r="F29" i="7"/>
  <c r="G29" i="7"/>
  <c r="H29" i="7"/>
  <c r="E23" i="7"/>
  <c r="D23" i="7"/>
  <c r="F23" i="7"/>
  <c r="H23" i="7"/>
  <c r="G23" i="7"/>
  <c r="D20" i="7"/>
  <c r="E20" i="7"/>
  <c r="F20" i="7"/>
  <c r="G20" i="7"/>
  <c r="H14" i="7"/>
  <c r="D14" i="7"/>
  <c r="F14" i="7"/>
  <c r="G14" i="7"/>
  <c r="E14" i="7"/>
  <c r="E5" i="7"/>
  <c r="G5" i="7"/>
  <c r="F5" i="7"/>
  <c r="H5" i="7"/>
  <c r="E10" i="7"/>
  <c r="D8" i="7"/>
  <c r="E8" i="7"/>
  <c r="F10" i="7"/>
  <c r="G10" i="7"/>
  <c r="C10" i="7"/>
  <c r="D5" i="7"/>
  <c r="D10" i="7"/>
  <c r="H10" i="7"/>
  <c r="F14" i="1"/>
  <c r="C14" i="1"/>
  <c r="I23" i="1"/>
  <c r="G23" i="2"/>
  <c r="L19" i="1"/>
  <c r="L24" i="1" s="1"/>
  <c r="D21" i="2"/>
  <c r="E24" i="2"/>
  <c r="N11" i="1"/>
  <c r="B6" i="1"/>
  <c r="B19" i="1" s="1"/>
  <c r="L7" i="1"/>
  <c r="J23" i="2"/>
  <c r="D24" i="2"/>
  <c r="K24" i="2"/>
  <c r="I14" i="1"/>
  <c r="K25" i="1" s="1"/>
  <c r="M25" i="1" s="1"/>
  <c r="M14" i="1" s="1"/>
  <c r="C24" i="2"/>
  <c r="D6" i="1"/>
  <c r="D19" i="1" s="1"/>
  <c r="B23" i="2"/>
  <c r="H14" i="1"/>
  <c r="J16" i="2"/>
  <c r="G16" i="2"/>
  <c r="D13" i="1"/>
  <c r="E13" i="1" s="1"/>
  <c r="E14" i="1" s="1"/>
  <c r="J24" i="2"/>
  <c r="I24" i="2"/>
  <c r="L23" i="1"/>
  <c r="H24" i="2"/>
  <c r="B16" i="2"/>
  <c r="A1" i="2"/>
  <c r="A1" i="4" s="1"/>
  <c r="B21" i="2"/>
  <c r="K24" i="1"/>
  <c r="L9" i="1"/>
  <c r="M9" i="1" s="1"/>
  <c r="E16" i="2"/>
  <c r="B14" i="1"/>
  <c r="D14" i="1"/>
  <c r="G24" i="2"/>
  <c r="F24" i="2"/>
  <c r="J25" i="1"/>
  <c r="M24" i="1"/>
  <c r="N8" i="1"/>
  <c r="M8" i="1"/>
  <c r="I20" i="2"/>
  <c r="H20" i="2"/>
  <c r="K23" i="1"/>
  <c r="N23" i="1" s="1"/>
  <c r="N4" i="1" s="1"/>
  <c r="H6" i="1"/>
  <c r="H19" i="1" s="1"/>
  <c r="H24" i="1" s="1"/>
  <c r="F6" i="1"/>
  <c r="F19" i="1" s="1"/>
  <c r="E1" i="4"/>
  <c r="U12" i="10" l="1"/>
  <c r="W9" i="10"/>
  <c r="X9" i="10"/>
  <c r="C14" i="10"/>
  <c r="E12" i="10"/>
  <c r="F12" i="10"/>
  <c r="I14" i="10"/>
  <c r="K12" i="10"/>
  <c r="L12" i="10"/>
  <c r="R9" i="10"/>
  <c r="Q9" i="10"/>
  <c r="F5" i="9"/>
  <c r="E11" i="9"/>
  <c r="E8" i="9"/>
  <c r="E13" i="9"/>
  <c r="E10" i="9"/>
  <c r="E6" i="9"/>
  <c r="E7" i="9" s="1"/>
  <c r="E9" i="9" s="1"/>
  <c r="E12" i="9" s="1"/>
  <c r="E14" i="9" s="1"/>
  <c r="D16" i="7"/>
  <c r="D11" i="7"/>
  <c r="C16" i="7"/>
  <c r="C11" i="7"/>
  <c r="F16" i="7"/>
  <c r="F11" i="7"/>
  <c r="E16" i="7"/>
  <c r="E11" i="7"/>
  <c r="G16" i="7"/>
  <c r="G11" i="7"/>
  <c r="H16" i="7"/>
  <c r="H11" i="7"/>
  <c r="H25" i="1"/>
  <c r="N25" i="1" s="1"/>
  <c r="N14" i="1" s="1"/>
  <c r="I25" i="1"/>
  <c r="I24" i="1"/>
  <c r="J24" i="1"/>
  <c r="M23" i="1"/>
  <c r="M4" i="1" s="1"/>
  <c r="N9" i="1"/>
  <c r="M6" i="1"/>
  <c r="M10" i="1" s="1"/>
  <c r="M12" i="1" s="1"/>
  <c r="M13" i="1" s="1"/>
  <c r="M15" i="1" s="1"/>
  <c r="W12" i="10" l="1"/>
  <c r="X12" i="10"/>
  <c r="U14" i="10"/>
  <c r="F14" i="10"/>
  <c r="E14" i="10"/>
  <c r="L14" i="10"/>
  <c r="K14" i="10"/>
  <c r="O14" i="10"/>
  <c r="R12" i="10"/>
  <c r="Q12" i="10"/>
  <c r="F11" i="9"/>
  <c r="F8" i="9"/>
  <c r="F13" i="9"/>
  <c r="F10" i="9"/>
  <c r="F6" i="9"/>
  <c r="F7" i="9" s="1"/>
  <c r="F9" i="9" s="1"/>
  <c r="F12" i="9" s="1"/>
  <c r="F14" i="9" s="1"/>
  <c r="H25" i="7"/>
  <c r="H17" i="7"/>
  <c r="G25" i="7"/>
  <c r="G17" i="7"/>
  <c r="E25" i="7"/>
  <c r="E17" i="7"/>
  <c r="F25" i="7"/>
  <c r="F17" i="7"/>
  <c r="C25" i="7"/>
  <c r="C17" i="7"/>
  <c r="D25" i="7"/>
  <c r="D17" i="7"/>
  <c r="N24" i="1"/>
  <c r="N6" i="1" s="1"/>
  <c r="M5" i="1"/>
  <c r="W14" i="10" l="1"/>
  <c r="R14" i="10"/>
  <c r="Q14" i="10"/>
  <c r="D32" i="7"/>
  <c r="D26" i="7"/>
  <c r="G32" i="7"/>
  <c r="G26" i="7"/>
  <c r="C26" i="7"/>
  <c r="F32" i="7"/>
  <c r="F26" i="7"/>
  <c r="E32" i="7"/>
  <c r="E26" i="7"/>
  <c r="H32" i="7"/>
  <c r="H26" i="7"/>
  <c r="N10" i="1"/>
  <c r="N12" i="1" s="1"/>
  <c r="N13" i="1" s="1"/>
  <c r="N15" i="1" s="1"/>
  <c r="N5" i="1"/>
</calcChain>
</file>

<file path=xl/sharedStrings.xml><?xml version="1.0" encoding="utf-8"?>
<sst xmlns="http://schemas.openxmlformats.org/spreadsheetml/2006/main" count="484" uniqueCount="281">
  <si>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</si>
  <si>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</si>
  <si>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</si>
  <si>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</si>
  <si>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</si>
  <si>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</si>
  <si>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</si>
  <si>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</si>
  <si>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</si>
  <si>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</si>
  <si>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</si>
  <si>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</si>
  <si>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</si>
  <si>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</si>
  <si>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</si>
  <si>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</si>
  <si>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</si>
  <si>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</si>
  <si>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</si>
  <si>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</si>
  <si>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</si>
  <si>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</si>
  <si>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</si>
  <si>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</si>
  <si>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</si>
  <si>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</si>
  <si>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</si>
  <si>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</si>
  <si>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</si>
  <si>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</si>
  <si>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</si>
  <si>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</si>
  <si>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</si>
  <si>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</si>
  <si>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</si>
  <si>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</si>
  <si>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</si>
  <si>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</si>
  <si>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</si>
  <si>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</si>
  <si>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</si>
  <si>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</si>
  <si>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</si>
  <si>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</si>
  <si>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</si>
  <si>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</si>
  <si>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</si>
  <si>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</si>
  <si>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</si>
  <si>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</si>
  <si>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</si>
  <si>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</si>
  <si>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</si>
  <si>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</si>
  <si>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</si>
  <si>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</si>
  <si>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</si>
  <si>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</si>
  <si>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</si>
  <si>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</si>
  <si>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</si>
  <si>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</si>
  <si>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</si>
  <si>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HINDUSTAN UNILEVER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</si>
  <si>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</si>
  <si>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</si>
  <si>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</si>
  <si>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</si>
  <si>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</si>
  <si>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</si>
  <si>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</si>
  <si>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</si>
  <si>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</si>
  <si>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</si>
  <si>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</si>
  <si>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</si>
  <si>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</si>
  <si>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</si>
  <si>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</si>
  <si>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</si>
  <si>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</si>
  <si>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</si>
  <si>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</si>
  <si>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</si>
  <si>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</si>
  <si>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</si>
  <si>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</si>
  <si>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</si>
  <si>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</si>
  <si>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</si>
  <si>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</si>
  <si>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</si>
  <si>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</si>
  <si>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Quter Time Period</t>
  </si>
  <si>
    <t>EBIT</t>
  </si>
  <si>
    <t>EBT</t>
  </si>
  <si>
    <t>-</t>
  </si>
  <si>
    <t>Expenses % Sales</t>
  </si>
  <si>
    <t>Depreciation % Sales</t>
  </si>
  <si>
    <t>EBIT Margin</t>
  </si>
  <si>
    <t>Other Income % Sales</t>
  </si>
  <si>
    <t>Interest % Sales</t>
  </si>
  <si>
    <t>EBT Margin</t>
  </si>
  <si>
    <t>Tax % Sales</t>
  </si>
  <si>
    <t>Net profit Margin</t>
  </si>
  <si>
    <t>Budget Drive</t>
  </si>
  <si>
    <t>Average</t>
  </si>
  <si>
    <t>Revenu</t>
  </si>
  <si>
    <t>Revenu Grwoth</t>
  </si>
  <si>
    <t>Operating Margin</t>
  </si>
  <si>
    <t>Net Profit</t>
  </si>
  <si>
    <t>Revenue</t>
  </si>
  <si>
    <t>Quarter 1 - Sep25</t>
  </si>
  <si>
    <t>Actual</t>
  </si>
  <si>
    <t>Budget</t>
  </si>
  <si>
    <t>Variance</t>
  </si>
  <si>
    <t>Variance%</t>
  </si>
  <si>
    <t>Quarter 2 - Dec25</t>
  </si>
  <si>
    <t>Quarter 3 - Mar26</t>
  </si>
  <si>
    <t>Quarter 4 - Jun26</t>
  </si>
  <si>
    <t>Revenue Actuals</t>
  </si>
  <si>
    <t>Revenu Budeget</t>
  </si>
  <si>
    <t>Variance %</t>
  </si>
  <si>
    <t>Analysis</t>
  </si>
  <si>
    <t>FP&amp;A Revenue Commentary</t>
  </si>
  <si>
    <r>
      <t>Sep-25:</t>
    </r>
    <r>
      <rPr>
        <sz val="11"/>
        <color theme="1"/>
        <rFont val="Calibri"/>
        <family val="2"/>
        <scheme val="minor"/>
      </rPr>
      <t xml:space="preserve"> Revenue was </t>
    </r>
    <r>
      <rPr>
        <b/>
        <sz val="11"/>
        <color theme="1"/>
        <rFont val="Calibri"/>
        <family val="2"/>
        <scheme val="minor"/>
      </rPr>
      <t>0.28% above budget</t>
    </r>
    <r>
      <rPr>
        <sz val="11"/>
        <color theme="1"/>
        <rFont val="Calibri"/>
        <family val="2"/>
        <scheme val="minor"/>
      </rPr>
      <t xml:space="preserve"> — marginal favorable variance.</t>
    </r>
  </si>
  <si>
    <r>
      <t>Dec-25:</t>
    </r>
    <r>
      <rPr>
        <sz val="11"/>
        <color theme="1"/>
        <rFont val="Calibri"/>
        <family val="2"/>
        <scheme val="minor"/>
      </rPr>
      <t xml:space="preserve"> Revenue was </t>
    </r>
    <r>
      <rPr>
        <b/>
        <sz val="11"/>
        <color theme="1"/>
        <rFont val="Calibri"/>
        <family val="2"/>
        <scheme val="minor"/>
      </rPr>
      <t>2.81% above budget</t>
    </r>
    <r>
      <rPr>
        <sz val="11"/>
        <color theme="1"/>
        <rFont val="Calibri"/>
        <family val="2"/>
        <scheme val="minor"/>
      </rPr>
      <t xml:space="preserve"> — stronger performance.</t>
    </r>
  </si>
  <si>
    <r>
      <t>Mar-26:</t>
    </r>
    <r>
      <rPr>
        <sz val="11"/>
        <color theme="1"/>
        <rFont val="Calibri"/>
        <family val="2"/>
        <scheme val="minor"/>
      </rPr>
      <t xml:space="preserve"> Revenue was </t>
    </r>
    <r>
      <rPr>
        <b/>
        <sz val="11"/>
        <color theme="1"/>
        <rFont val="Calibri"/>
        <family val="2"/>
        <scheme val="minor"/>
      </rPr>
      <t>1.49% above budget</t>
    </r>
    <r>
      <rPr>
        <sz val="11"/>
        <color theme="1"/>
        <rFont val="Calibri"/>
        <family val="2"/>
        <scheme val="minor"/>
      </rPr>
      <t xml:space="preserve"> — remained above plan.</t>
    </r>
  </si>
  <si>
    <r>
      <t>Jun-26:</t>
    </r>
    <r>
      <rPr>
        <sz val="11"/>
        <color theme="1"/>
        <rFont val="Calibri"/>
        <family val="2"/>
        <scheme val="minor"/>
      </rPr>
      <t xml:space="preserve"> Revenue was </t>
    </r>
    <r>
      <rPr>
        <b/>
        <sz val="11"/>
        <color theme="1"/>
        <rFont val="Calibri"/>
        <family val="2"/>
        <scheme val="minor"/>
      </rPr>
      <t>6.84% above budget</t>
    </r>
    <r>
      <rPr>
        <sz val="11"/>
        <color theme="1"/>
        <rFont val="Calibri"/>
        <family val="2"/>
        <scheme val="minor"/>
      </rPr>
      <t xml:space="preserve"> — largest positive revenue variance.</t>
    </r>
  </si>
  <si>
    <t>Expenses Actual</t>
  </si>
  <si>
    <t>Expense Budget</t>
  </si>
  <si>
    <t>Operating Profit Actual</t>
  </si>
  <si>
    <t>Operating Profit Budget</t>
  </si>
  <si>
    <r>
      <t>Sep-25:</t>
    </r>
    <r>
      <rPr>
        <sz val="11"/>
        <color theme="1"/>
        <rFont val="Calibri"/>
        <family val="2"/>
        <scheme val="minor"/>
      </rPr>
      <t xml:space="preserve"> Operating Profit +1.04% above budget.</t>
    </r>
  </si>
  <si>
    <r>
      <t>Dec-25:</t>
    </r>
    <r>
      <rPr>
        <sz val="11"/>
        <color theme="1"/>
        <rFont val="Calibri"/>
        <family val="2"/>
        <scheme val="minor"/>
      </rPr>
      <t xml:space="preserve"> +0.27% — almost on budget.</t>
    </r>
  </si>
  <si>
    <r>
      <t>Mar-26:</t>
    </r>
    <r>
      <rPr>
        <sz val="11"/>
        <color theme="1"/>
        <rFont val="Calibri"/>
        <family val="2"/>
        <scheme val="minor"/>
      </rPr>
      <t xml:space="preserve"> +1.01% — performance improved.</t>
    </r>
  </si>
  <si>
    <r>
      <t>Jun-26: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+3.13% — highest favorable variance.</t>
    </r>
  </si>
  <si>
    <t>EBIT Actual</t>
  </si>
  <si>
    <t>EBIT Budget</t>
  </si>
  <si>
    <t>FP&amp;A observation</t>
  </si>
  <si>
    <r>
      <t>Sep-25:</t>
    </r>
    <r>
      <rPr>
        <sz val="11"/>
        <color theme="1"/>
        <rFont val="Calibri"/>
        <family val="2"/>
        <scheme val="minor"/>
      </rPr>
      <t xml:space="preserve"> EBIT +1.42% above budget.</t>
    </r>
  </si>
  <si>
    <r>
      <t>Dec-25:</t>
    </r>
    <r>
      <rPr>
        <sz val="11"/>
        <color theme="1"/>
        <rFont val="Calibri"/>
        <family val="2"/>
        <scheme val="minor"/>
      </rPr>
      <t xml:space="preserve"> +0.21% — almost on budget.</t>
    </r>
  </si>
  <si>
    <r>
      <t>Mar-26:</t>
    </r>
    <r>
      <rPr>
        <sz val="11"/>
        <color theme="1"/>
        <rFont val="Calibri"/>
        <family val="2"/>
        <scheme val="minor"/>
      </rPr>
      <t xml:space="preserve"> +0.77%.</t>
    </r>
  </si>
  <si>
    <r>
      <t>Jun-26: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+3.03% — highest favorable variance.</t>
    </r>
  </si>
  <si>
    <r>
      <t>Sep-25:</t>
    </r>
    <r>
      <rPr>
        <sz val="11"/>
        <color theme="1"/>
        <rFont val="Calibri"/>
        <family val="2"/>
        <scheme val="minor"/>
      </rPr>
      <t xml:space="preserve"> Expenses almost exactly on budget → only </t>
    </r>
    <r>
      <rPr>
        <b/>
        <sz val="11"/>
        <color theme="1"/>
        <rFont val="Calibri"/>
        <family val="2"/>
        <scheme val="minor"/>
      </rPr>
      <t>0.05% unfavorable</t>
    </r>
    <r>
      <rPr>
        <sz val="11"/>
        <color theme="1"/>
        <rFont val="Calibri"/>
        <family val="2"/>
        <scheme val="minor"/>
      </rPr>
      <t>.</t>
    </r>
  </si>
  <si>
    <r>
      <t>Dec-25:</t>
    </r>
    <r>
      <rPr>
        <sz val="11"/>
        <color theme="1"/>
        <rFont val="Calibri"/>
        <family val="2"/>
        <scheme val="minor"/>
      </rPr>
      <t xml:space="preserve"> Expenses exceeded budget by </t>
    </r>
    <r>
      <rPr>
        <b/>
        <sz val="11"/>
        <color theme="1"/>
        <rFont val="Calibri"/>
        <family val="2"/>
        <scheme val="minor"/>
      </rPr>
      <t>3.59%</t>
    </r>
    <r>
      <rPr>
        <sz val="11"/>
        <color theme="1"/>
        <rFont val="Calibri"/>
        <family val="2"/>
        <scheme val="minor"/>
      </rPr>
      <t>.</t>
    </r>
  </si>
  <si>
    <r>
      <t>Mar-26:</t>
    </r>
    <r>
      <rPr>
        <sz val="11"/>
        <color theme="1"/>
        <rFont val="Calibri"/>
        <family val="2"/>
        <scheme val="minor"/>
      </rPr>
      <t xml:space="preserve"> Variance reduced to </t>
    </r>
    <r>
      <rPr>
        <b/>
        <sz val="11"/>
        <color theme="1"/>
        <rFont val="Calibri"/>
        <family val="2"/>
        <scheme val="minor"/>
      </rPr>
      <t>1.64%</t>
    </r>
    <r>
      <rPr>
        <sz val="11"/>
        <color theme="1"/>
        <rFont val="Calibri"/>
        <family val="2"/>
        <scheme val="minor"/>
      </rPr>
      <t>.</t>
    </r>
  </si>
  <si>
    <r>
      <t>Jun-26:</t>
    </r>
    <r>
      <rPr>
        <sz val="11"/>
        <color theme="1"/>
        <rFont val="Calibri"/>
        <family val="2"/>
        <scheme val="minor"/>
      </rPr>
      <t xml:space="preserve"> Highest unfavorable expense variance at </t>
    </r>
    <r>
      <rPr>
        <b/>
        <sz val="11"/>
        <color theme="1"/>
        <rFont val="Calibri"/>
        <family val="2"/>
        <scheme val="minor"/>
      </rPr>
      <t>7.98%</t>
    </r>
    <r>
      <rPr>
        <sz val="11"/>
        <color theme="1"/>
        <rFont val="Calibri"/>
        <family val="2"/>
        <scheme val="minor"/>
      </rPr>
      <t>.</t>
    </r>
  </si>
  <si>
    <r>
      <t xml:space="preserve">Jun-26 lo </t>
    </r>
    <r>
      <rPr>
        <b/>
        <sz val="11"/>
        <color theme="1"/>
        <rFont val="Calibri"/>
        <family val="2"/>
        <scheme val="minor"/>
      </rPr>
      <t>Revenue +6.84%</t>
    </r>
    <r>
      <rPr>
        <sz val="11"/>
        <color theme="1"/>
        <rFont val="Calibri"/>
        <family val="2"/>
        <scheme val="minor"/>
      </rPr>
      <t xml:space="preserve">, but </t>
    </r>
    <r>
      <rPr>
        <b/>
        <sz val="11"/>
        <color theme="1"/>
        <rFont val="Calibri"/>
        <family val="2"/>
        <scheme val="minor"/>
      </rPr>
      <t>Expenses +7.98%</t>
    </r>
    <r>
      <rPr>
        <sz val="11"/>
        <color theme="1"/>
        <rFont val="Calibri"/>
        <family val="2"/>
        <scheme val="minor"/>
      </rPr>
      <t xml:space="preserve"> → expenses grew faster than revenue, creating </t>
    </r>
    <r>
      <rPr>
        <b/>
        <sz val="11"/>
        <color theme="1"/>
        <rFont val="Calibri"/>
        <family val="2"/>
        <scheme val="minor"/>
      </rPr>
      <t>potential margin pressure</t>
    </r>
    <r>
      <rPr>
        <sz val="11"/>
        <color theme="1"/>
        <rFont val="Calibri"/>
        <family val="2"/>
        <scheme val="minor"/>
      </rPr>
      <t>.</t>
    </r>
  </si>
  <si>
    <t>Other Income Actual</t>
  </si>
  <si>
    <t>Other income Budget</t>
  </si>
  <si>
    <t>P&amp;A observation</t>
  </si>
  <si>
    <r>
      <t>Dec-25 is the major point:</t>
    </r>
    <r>
      <rPr>
        <sz val="11"/>
        <color theme="1"/>
        <rFont val="Calibri"/>
        <family val="2"/>
        <scheme val="minor"/>
      </rPr>
      <t xml:space="preserve"> Other Income was </t>
    </r>
    <r>
      <rPr>
        <b/>
        <sz val="11"/>
        <color theme="1"/>
        <rFont val="Calibri"/>
        <family val="2"/>
        <scheme val="minor"/>
      </rPr>
      <t>₹4,048 vs ₹292.75 budget</t>
    </r>
    <r>
      <rPr>
        <sz val="11"/>
        <color theme="1"/>
        <rFont val="Calibri"/>
        <family val="2"/>
        <scheme val="minor"/>
      </rPr>
      <t xml:space="preserve">, creating a </t>
    </r>
    <r>
      <rPr>
        <b/>
        <sz val="11"/>
        <color theme="1"/>
        <rFont val="Calibri"/>
        <family val="2"/>
        <scheme val="minor"/>
      </rPr>
      <t>₹3,755.25 favorable variance (+1,282.75%)</t>
    </r>
    <r>
      <rPr>
        <sz val="11"/>
        <color theme="1"/>
        <rFont val="Calibri"/>
        <family val="2"/>
        <scheme val="minor"/>
      </rPr>
      <t>.</t>
    </r>
  </si>
  <si>
    <t>Interest Actual</t>
  </si>
  <si>
    <t>Interest Budget</t>
  </si>
  <si>
    <t>FP&amp;A Observations – Interest Expense</t>
  </si>
  <si>
    <r>
      <t>1. Sep-25:</t>
    </r>
    <r>
      <rPr>
        <sz val="11"/>
        <color theme="1"/>
        <rFont val="Calibri"/>
        <family val="2"/>
        <scheme val="minor"/>
      </rPr>
      <t xml:space="preserve"> Interest expense was </t>
    </r>
    <r>
      <rPr>
        <b/>
        <sz val="11"/>
        <color theme="1"/>
        <rFont val="Calibri"/>
        <family val="2"/>
        <scheme val="minor"/>
      </rPr>
      <t>18.50% above budget</t>
    </r>
    <r>
      <rPr>
        <sz val="11"/>
        <color theme="1"/>
        <rFont val="Calibri"/>
        <family val="2"/>
        <scheme val="minor"/>
      </rPr>
      <t>, indicating an unfavorable variance.</t>
    </r>
  </si>
  <si>
    <r>
      <t>2. Dec-25:</t>
    </r>
    <r>
      <rPr>
        <sz val="11"/>
        <color theme="1"/>
        <rFont val="Calibri"/>
        <family val="2"/>
        <scheme val="minor"/>
      </rPr>
      <t xml:space="preserve"> Interest expense was </t>
    </r>
    <r>
      <rPr>
        <b/>
        <sz val="11"/>
        <color theme="1"/>
        <rFont val="Calibri"/>
        <family val="2"/>
        <scheme val="minor"/>
      </rPr>
      <t>16.52% below budget</t>
    </r>
    <r>
      <rPr>
        <sz val="11"/>
        <color theme="1"/>
        <rFont val="Calibri"/>
        <family val="2"/>
        <scheme val="minor"/>
      </rPr>
      <t>, resulting in a favorable variance.</t>
    </r>
  </si>
  <si>
    <r>
      <t>3. Mar-26:</t>
    </r>
    <r>
      <rPr>
        <sz val="11"/>
        <color theme="1"/>
        <rFont val="Calibri"/>
        <family val="2"/>
        <scheme val="minor"/>
      </rPr>
      <t xml:space="preserve"> Interest expense was </t>
    </r>
    <r>
      <rPr>
        <b/>
        <sz val="11"/>
        <color theme="1"/>
        <rFont val="Calibri"/>
        <family val="2"/>
        <scheme val="minor"/>
      </rPr>
      <t>28.44% below budget</t>
    </r>
    <r>
      <rPr>
        <sz val="11"/>
        <color theme="1"/>
        <rFont val="Calibri"/>
        <family val="2"/>
        <scheme val="minor"/>
      </rPr>
      <t>, showing continued improvement.</t>
    </r>
  </si>
  <si>
    <r>
      <t>4. Jun-26:</t>
    </r>
    <r>
      <rPr>
        <sz val="11"/>
        <color theme="1"/>
        <rFont val="Calibri"/>
        <family val="2"/>
        <scheme val="minor"/>
      </rPr>
      <t xml:space="preserve"> Interest expense was </t>
    </r>
    <r>
      <rPr>
        <b/>
        <sz val="11"/>
        <color theme="1"/>
        <rFont val="Calibri"/>
        <family val="2"/>
        <scheme val="minor"/>
      </rPr>
      <t>29.90% below budget</t>
    </r>
    <r>
      <rPr>
        <sz val="11"/>
        <color theme="1"/>
        <rFont val="Calibri"/>
        <family val="2"/>
        <scheme val="minor"/>
      </rPr>
      <t xml:space="preserve">, the </t>
    </r>
    <r>
      <rPr>
        <b/>
        <sz val="11"/>
        <color theme="1"/>
        <rFont val="Calibri"/>
        <family val="2"/>
        <scheme val="minor"/>
      </rPr>
      <t>largest favorable variance</t>
    </r>
    <r>
      <rPr>
        <sz val="11"/>
        <color theme="1"/>
        <rFont val="Calibri"/>
        <family val="2"/>
        <scheme val="minor"/>
      </rPr>
      <t xml:space="preserve"> during the four quarters.</t>
    </r>
  </si>
  <si>
    <r>
      <t xml:space="preserve">5. Overall, interest expense was </t>
    </r>
    <r>
      <rPr>
        <b/>
        <sz val="11"/>
        <color theme="1"/>
        <rFont val="Calibri"/>
        <family val="2"/>
        <scheme val="minor"/>
      </rPr>
      <t>below budget in 3 out of 4 quarters</t>
    </r>
    <r>
      <rPr>
        <sz val="11"/>
        <color theme="1"/>
        <rFont val="Calibri"/>
        <family val="2"/>
        <scheme val="minor"/>
      </rPr>
      <t xml:space="preserve">, which helped support </t>
    </r>
    <r>
      <rPr>
        <b/>
        <sz val="11"/>
        <color theme="1"/>
        <rFont val="Calibri"/>
        <family val="2"/>
        <scheme val="minor"/>
      </rPr>
      <t>EBT performance</t>
    </r>
    <r>
      <rPr>
        <sz val="11"/>
        <color theme="1"/>
        <rFont val="Calibri"/>
        <family val="2"/>
        <scheme val="minor"/>
      </rPr>
      <t>.</t>
    </r>
  </si>
  <si>
    <t>EBT Actual</t>
  </si>
  <si>
    <t>EBT Budget</t>
  </si>
  <si>
    <t>EBT Observations</t>
  </si>
  <si>
    <r>
      <t>1. Sep-25:</t>
    </r>
    <r>
      <rPr>
        <sz val="11"/>
        <color theme="1"/>
        <rFont val="Calibri"/>
        <family val="2"/>
        <scheme val="minor"/>
      </rPr>
      <t xml:space="preserve"> EBT was </t>
    </r>
    <r>
      <rPr>
        <b/>
        <sz val="11"/>
        <color theme="1"/>
        <rFont val="Calibri"/>
        <family val="2"/>
        <scheme val="minor"/>
      </rPr>
      <t>0.21% above budget</t>
    </r>
    <r>
      <rPr>
        <sz val="11"/>
        <color theme="1"/>
        <rFont val="Calibri"/>
        <family val="2"/>
        <scheme val="minor"/>
      </rPr>
      <t>, a small favorable variance. Performance was almost in line with expectations.</t>
    </r>
  </si>
  <si>
    <r>
      <t>2. Dec-25:</t>
    </r>
    <r>
      <rPr>
        <sz val="11"/>
        <color theme="1"/>
        <rFont val="Calibri"/>
        <family val="2"/>
        <scheme val="minor"/>
      </rPr>
      <t xml:space="preserve"> EBT was </t>
    </r>
    <r>
      <rPr>
        <b/>
        <sz val="11"/>
        <color theme="1"/>
        <rFont val="Calibri"/>
        <family val="2"/>
        <scheme val="minor"/>
      </rPr>
      <t>104.30% above budget</t>
    </r>
    <r>
      <rPr>
        <sz val="11"/>
        <color theme="1"/>
        <rFont val="Calibri"/>
        <family val="2"/>
        <scheme val="minor"/>
      </rPr>
      <t xml:space="preserve">, a very large favorable variance. This was mainly driven by the exceptionally high </t>
    </r>
    <r>
      <rPr>
        <b/>
        <sz val="11"/>
        <color theme="1"/>
        <rFont val="Calibri"/>
        <family val="2"/>
        <scheme val="minor"/>
      </rPr>
      <t>Other Income</t>
    </r>
    <r>
      <rPr>
        <sz val="11"/>
        <color theme="1"/>
        <rFont val="Calibri"/>
        <family val="2"/>
        <scheme val="minor"/>
      </rPr>
      <t xml:space="preserve"> variance, so it should not be treated as purely operational improvement.</t>
    </r>
  </si>
  <si>
    <r>
      <t>3. Mar-26:</t>
    </r>
    <r>
      <rPr>
        <sz val="11"/>
        <color theme="1"/>
        <rFont val="Calibri"/>
        <family val="2"/>
        <scheme val="minor"/>
      </rPr>
      <t xml:space="preserve"> EBT was </t>
    </r>
    <r>
      <rPr>
        <b/>
        <sz val="11"/>
        <color theme="1"/>
        <rFont val="Calibri"/>
        <family val="2"/>
        <scheme val="minor"/>
      </rPr>
      <t>7.25% above budget</t>
    </r>
    <r>
      <rPr>
        <sz val="11"/>
        <color theme="1"/>
        <rFont val="Calibri"/>
        <family val="2"/>
        <scheme val="minor"/>
      </rPr>
      <t>, showing a favorable result, supported by higher EBIT, higher Other Income and lower Interest Expense.</t>
    </r>
  </si>
  <si>
    <r>
      <t>4. Jun-26:</t>
    </r>
    <r>
      <rPr>
        <sz val="11"/>
        <color theme="1"/>
        <rFont val="Calibri"/>
        <family val="2"/>
        <scheme val="minor"/>
      </rPr>
      <t xml:space="preserve"> EBT was </t>
    </r>
    <r>
      <rPr>
        <b/>
        <sz val="11"/>
        <color theme="1"/>
        <rFont val="Calibri"/>
        <family val="2"/>
        <scheme val="minor"/>
      </rPr>
      <t>1.26% below budget</t>
    </r>
    <r>
      <rPr>
        <sz val="11"/>
        <color theme="1"/>
        <rFont val="Calibri"/>
        <family val="2"/>
        <scheme val="minor"/>
      </rPr>
      <t>, an unfavorable variance. Although EBIT and Interest Expense were favorable, the lower Other Income reduced EBT.</t>
    </r>
  </si>
  <si>
    <t>TAX Actual</t>
  </si>
  <si>
    <t>TAX Budget</t>
  </si>
  <si>
    <t>Final FP&amp;A Observation</t>
  </si>
  <si>
    <r>
      <t>Sep-25:</t>
    </r>
    <r>
      <rPr>
        <sz val="11"/>
        <color theme="1"/>
        <rFont val="Calibri"/>
        <family val="2"/>
        <scheme val="minor"/>
      </rPr>
      <t xml:space="preserve"> Tax expense </t>
    </r>
    <r>
      <rPr>
        <b/>
        <sz val="11"/>
        <color theme="1"/>
        <rFont val="Calibri"/>
        <family val="2"/>
        <scheme val="minor"/>
      </rPr>
      <t>3.92% above budget</t>
    </r>
    <r>
      <rPr>
        <sz val="11"/>
        <color theme="1"/>
        <rFont val="Calibri"/>
        <family val="2"/>
        <scheme val="minor"/>
      </rPr>
      <t xml:space="preserve"> → Unfavorable.</t>
    </r>
  </si>
  <si>
    <r>
      <t>Dec-25:</t>
    </r>
    <r>
      <rPr>
        <sz val="11"/>
        <color theme="1"/>
        <rFont val="Calibri"/>
        <family val="2"/>
        <scheme val="minor"/>
      </rPr>
      <t xml:space="preserve"> Tax expense </t>
    </r>
    <r>
      <rPr>
        <b/>
        <sz val="11"/>
        <color theme="1"/>
        <rFont val="Calibri"/>
        <family val="2"/>
        <scheme val="minor"/>
      </rPr>
      <t>9.31% below budget</t>
    </r>
    <r>
      <rPr>
        <sz val="11"/>
        <color theme="1"/>
        <rFont val="Calibri"/>
        <family val="2"/>
        <scheme val="minor"/>
      </rPr>
      <t xml:space="preserve"> → Favorable.</t>
    </r>
  </si>
  <si>
    <r>
      <t>Mar-26:</t>
    </r>
    <r>
      <rPr>
        <sz val="11"/>
        <color theme="1"/>
        <rFont val="Calibri"/>
        <family val="2"/>
        <scheme val="minor"/>
      </rPr>
      <t xml:space="preserve"> Tax expense </t>
    </r>
    <r>
      <rPr>
        <b/>
        <sz val="11"/>
        <color theme="1"/>
        <rFont val="Calibri"/>
        <family val="2"/>
        <scheme val="minor"/>
      </rPr>
      <t>3.62% above budget</t>
    </r>
    <r>
      <rPr>
        <sz val="11"/>
        <color theme="1"/>
        <rFont val="Calibri"/>
        <family val="2"/>
        <scheme val="minor"/>
      </rPr>
      <t xml:space="preserve"> → Unfavorable.</t>
    </r>
  </si>
  <si>
    <r>
      <t>Jun-26:</t>
    </r>
    <r>
      <rPr>
        <sz val="11"/>
        <color theme="1"/>
        <rFont val="Calibri"/>
        <family val="2"/>
        <scheme val="minor"/>
      </rPr>
      <t xml:space="preserve"> Tax expense </t>
    </r>
    <r>
      <rPr>
        <b/>
        <sz val="11"/>
        <color theme="1"/>
        <rFont val="Calibri"/>
        <family val="2"/>
        <scheme val="minor"/>
      </rPr>
      <t>6.21% above budget</t>
    </r>
    <r>
      <rPr>
        <sz val="11"/>
        <color theme="1"/>
        <rFont val="Calibri"/>
        <family val="2"/>
        <scheme val="minor"/>
      </rPr>
      <t xml:space="preserve"> → Unfavorable; highest unfavorable variance.</t>
    </r>
  </si>
  <si>
    <r>
      <t>Overall:</t>
    </r>
    <r>
      <rPr>
        <sz val="11"/>
        <color theme="1"/>
        <rFont val="Calibri"/>
        <family val="2"/>
        <scheme val="minor"/>
      </rPr>
      <t xml:space="preserve"> Tax expense exceeded budget in </t>
    </r>
    <r>
      <rPr>
        <b/>
        <sz val="11"/>
        <color theme="1"/>
        <rFont val="Calibri"/>
        <family val="2"/>
        <scheme val="minor"/>
      </rPr>
      <t>3 out of 4 quarters</t>
    </r>
    <r>
      <rPr>
        <sz val="11"/>
        <color theme="1"/>
        <rFont val="Calibri"/>
        <family val="2"/>
        <scheme val="minor"/>
      </rPr>
      <t>. Dec-25 was the only favorable quarter</t>
    </r>
  </si>
  <si>
    <t>.</t>
  </si>
  <si>
    <t>NP Actual</t>
  </si>
  <si>
    <t>NP Budget</t>
  </si>
  <si>
    <t>NP Observations</t>
  </si>
  <si>
    <r>
      <t>1. Sep-25:</t>
    </r>
    <r>
      <rPr>
        <sz val="11"/>
        <color theme="1"/>
        <rFont val="Calibri"/>
        <family val="2"/>
        <scheme val="minor"/>
      </rPr>
      <t xml:space="preserve"> NP was </t>
    </r>
    <r>
      <rPr>
        <b/>
        <sz val="11"/>
        <color theme="1"/>
        <rFont val="Calibri"/>
        <family val="2"/>
        <scheme val="minor"/>
      </rPr>
      <t>0.98% below budget</t>
    </r>
    <r>
      <rPr>
        <sz val="11"/>
        <color theme="1"/>
        <rFont val="Calibri"/>
        <family val="2"/>
        <scheme val="minor"/>
      </rPr>
      <t xml:space="preserve"> → Unfavorable. Small negative variance.</t>
    </r>
  </si>
  <si>
    <r>
      <t>2. Dec-25:</t>
    </r>
    <r>
      <rPr>
        <sz val="11"/>
        <color theme="1"/>
        <rFont val="Calibri"/>
        <family val="2"/>
        <scheme val="minor"/>
      </rPr>
      <t xml:space="preserve"> NP was </t>
    </r>
    <r>
      <rPr>
        <b/>
        <sz val="11"/>
        <color theme="1"/>
        <rFont val="Calibri"/>
        <family val="2"/>
        <scheme val="minor"/>
      </rPr>
      <t>140.90% above budget</t>
    </r>
    <r>
      <rPr>
        <sz val="11"/>
        <color theme="1"/>
        <rFont val="Calibri"/>
        <family val="2"/>
        <scheme val="minor"/>
      </rPr>
      <t xml:space="preserve"> → Favorable. The major driver was the exceptionally high </t>
    </r>
    <r>
      <rPr>
        <b/>
        <sz val="11"/>
        <color theme="1"/>
        <rFont val="Calibri"/>
        <family val="2"/>
        <scheme val="minor"/>
      </rPr>
      <t>Other Income</t>
    </r>
    <r>
      <rPr>
        <sz val="11"/>
        <color theme="1"/>
        <rFont val="Calibri"/>
        <family val="2"/>
        <scheme val="minor"/>
      </rPr>
      <t>, so this should not be considered purely core operating performance.</t>
    </r>
  </si>
  <si>
    <r>
      <t>3. Mar-26:</t>
    </r>
    <r>
      <rPr>
        <sz val="11"/>
        <color theme="1"/>
        <rFont val="Calibri"/>
        <family val="2"/>
        <scheme val="minor"/>
      </rPr>
      <t xml:space="preserve"> NP was </t>
    </r>
    <r>
      <rPr>
        <b/>
        <sz val="11"/>
        <color theme="1"/>
        <rFont val="Calibri"/>
        <family val="2"/>
        <scheme val="minor"/>
      </rPr>
      <t>8.43% above budget</t>
    </r>
    <r>
      <rPr>
        <sz val="11"/>
        <color theme="1"/>
        <rFont val="Calibri"/>
        <family val="2"/>
        <scheme val="minor"/>
      </rPr>
      <t xml:space="preserve"> → Favorable, supported by higher EBT despite slightly higher tax expense.</t>
    </r>
  </si>
  <si>
    <r>
      <t>4. Jun-26:</t>
    </r>
    <r>
      <rPr>
        <sz val="11"/>
        <color theme="1"/>
        <rFont val="Calibri"/>
        <family val="2"/>
        <scheme val="minor"/>
      </rPr>
      <t xml:space="preserve"> NP was </t>
    </r>
    <r>
      <rPr>
        <b/>
        <sz val="11"/>
        <color theme="1"/>
        <rFont val="Calibri"/>
        <family val="2"/>
        <scheme val="minor"/>
      </rPr>
      <t>3.66% below budget</t>
    </r>
    <r>
      <rPr>
        <sz val="11"/>
        <color theme="1"/>
        <rFont val="Calibri"/>
        <family val="2"/>
        <scheme val="minor"/>
      </rPr>
      <t xml:space="preserve"> → Unfavorable. Lower Other Income and higher tax expense offset the favorable EBIT and interest-expense performance.</t>
    </r>
  </si>
  <si>
    <t>KPI</t>
  </si>
  <si>
    <t>Key Finding</t>
  </si>
  <si>
    <t>FP&amp;A Interpretation</t>
  </si>
  <si>
    <t>Above budget in all 4 quarters</t>
  </si>
  <si>
    <t>Revenue performance was consistently favorable</t>
  </si>
  <si>
    <t>Cost control needs attention, especially Jun-26</t>
  </si>
  <si>
    <t>Operating performance remained favorable</t>
  </si>
  <si>
    <t>Core operating profitability was above plan</t>
  </si>
  <si>
    <t>Highly volatile</t>
  </si>
  <si>
    <t>Significant impact on EBT and NP</t>
  </si>
  <si>
    <t>Interest Expense</t>
  </si>
  <si>
    <t>Below budget in 3 of 4 quarters</t>
  </si>
  <si>
    <t>Financing cost was generally favorable</t>
  </si>
  <si>
    <t>Above budget in 3 of 4 quarters</t>
  </si>
  <si>
    <t>Strong overall, but influenced by Other Income</t>
  </si>
  <si>
    <t>Tax variance requires monitoring</t>
  </si>
  <si>
    <t>Above budget in 2 of 4 quarters</t>
  </si>
  <si>
    <t>Profitability was mixed across quarters</t>
  </si>
  <si>
    <t>Executive Summary – HUL FP&amp;A Variance Analysis</t>
  </si>
  <si>
    <t>2. Key Management Insights</t>
  </si>
  <si>
    <t>Insight 1 – Revenue:</t>
  </si>
  <si>
    <r>
      <t xml:space="preserve">Revenue remained above budget across all four quarters. </t>
    </r>
    <r>
      <rPr>
        <b/>
        <sz val="11"/>
        <color theme="1"/>
        <rFont val="Calibri"/>
        <family val="2"/>
        <scheme val="minor"/>
      </rPr>
      <t>Jun-26 recorded the highest favorable variance at +6.84%.</t>
    </r>
  </si>
  <si>
    <t>Insight 2 – Cost:</t>
  </si>
  <si>
    <r>
      <t xml:space="preserve">Expenses were above budget in every quarter. </t>
    </r>
    <r>
      <rPr>
        <b/>
        <sz val="11"/>
        <color theme="1"/>
        <rFont val="Calibri"/>
        <family val="2"/>
        <scheme val="minor"/>
      </rPr>
      <t>Jun-26 had the highest unfavorable variance of +7.98%</t>
    </r>
    <r>
      <rPr>
        <sz val="11"/>
        <color theme="1"/>
        <rFont val="Calibri"/>
        <family val="2"/>
        <scheme val="minor"/>
      </rPr>
      <t>, which was higher than the revenue variance of +6.84%.</t>
    </r>
  </si>
  <si>
    <t>Insight 3 – Operating Profit:</t>
  </si>
  <si>
    <t>Operating Profit and EBIT were above budget in all four quarters, indicating favorable core operating performance.</t>
  </si>
  <si>
    <t>Insight 4 – Other Income:</t>
  </si>
  <si>
    <r>
      <t xml:space="preserve">Other Income showed significant volatility, particularly </t>
    </r>
    <r>
      <rPr>
        <b/>
        <sz val="11"/>
        <color theme="1"/>
        <rFont val="Calibri"/>
        <family val="2"/>
        <scheme val="minor"/>
      </rPr>
      <t>Dec-25 (+1,282.75%)</t>
    </r>
    <r>
      <rPr>
        <sz val="11"/>
        <color theme="1"/>
        <rFont val="Calibri"/>
        <family val="2"/>
        <scheme val="minor"/>
      </rPr>
      <t>. This had a major impact on EBT and Net Profit.</t>
    </r>
  </si>
  <si>
    <t>Insight 5 – Financing Cost:</t>
  </si>
  <si>
    <t>Interest expense was below budget in Dec-25, Mar-26 and Jun-26, providing a favorable impact on profitability.</t>
  </si>
  <si>
    <t>Insight 6 – Net Profit:</t>
  </si>
  <si>
    <t>Net Profit was below budget in Sep-25 and Jun-26, while Dec-25 showed an unusually large favorable variance mainly because of Other Income.</t>
  </si>
  <si>
    <t>3. Management Actions</t>
  </si>
  <si>
    <r>
      <t xml:space="preserve">Investigate the major </t>
    </r>
    <r>
      <rPr>
        <b/>
        <sz val="11"/>
        <color theme="1"/>
        <rFont val="Calibri"/>
        <family val="2"/>
        <scheme val="minor"/>
      </rPr>
      <t>Jun-26 expense drivers</t>
    </r>
    <r>
      <rPr>
        <sz val="11"/>
        <color theme="1"/>
        <rFont val="Calibri"/>
        <family val="2"/>
        <scheme val="minor"/>
      </rPr>
      <t>.</t>
    </r>
  </si>
  <si>
    <t>Compare expense growth with revenue growth to monitor margin pressure.</t>
  </si>
  <si>
    <r>
      <t xml:space="preserve">Separate </t>
    </r>
    <r>
      <rPr>
        <b/>
        <sz val="11"/>
        <color theme="1"/>
        <rFont val="Calibri"/>
        <family val="2"/>
        <scheme val="minor"/>
      </rPr>
      <t>recurring operating performance from Other Income</t>
    </r>
    <r>
      <rPr>
        <sz val="11"/>
        <color theme="1"/>
        <rFont val="Calibri"/>
        <family val="2"/>
        <scheme val="minor"/>
      </rPr>
      <t xml:space="preserve"> when evaluating profitability.</t>
    </r>
  </si>
  <si>
    <t>Monitor interest expense and financing requirements.</t>
  </si>
  <si>
    <t>Review tax variances and effective tax rate.</t>
  </si>
  <si>
    <t>Track Revenue → Operating Profit → EBIT → EBT → Net Profit as a complete profitability chain.</t>
  </si>
  <si>
    <t>Period No</t>
  </si>
  <si>
    <t>Years</t>
  </si>
  <si>
    <t>Expenses Growth</t>
  </si>
  <si>
    <t>OP</t>
  </si>
  <si>
    <t>OP Growth</t>
  </si>
  <si>
    <t>Depreciation Growth</t>
  </si>
  <si>
    <t>EBIT Growth</t>
  </si>
  <si>
    <t>Other Income Growth</t>
  </si>
  <si>
    <t>Interest Growth</t>
  </si>
  <si>
    <t>EBT Growth</t>
  </si>
  <si>
    <t>TAX</t>
  </si>
  <si>
    <t>TAX Growth</t>
  </si>
  <si>
    <t>Net Profit Growth</t>
  </si>
  <si>
    <t>Sep-25A</t>
  </si>
  <si>
    <t>Dec-25A</t>
  </si>
  <si>
    <t>Mar-26A</t>
  </si>
  <si>
    <t>Jun-26A</t>
  </si>
  <si>
    <t>Sep-26F</t>
  </si>
  <si>
    <t>Dec-26F</t>
  </si>
  <si>
    <t>Mar-27F</t>
  </si>
  <si>
    <t>Jun-27F</t>
  </si>
  <si>
    <t>Executive Summary – HUL Rolling Forecast</t>
  </si>
  <si>
    <r>
      <t xml:space="preserve">HUL’s rolling forecast indicates </t>
    </r>
    <r>
      <rPr>
        <b/>
        <sz val="11"/>
        <color theme="1"/>
        <rFont val="Calibri"/>
        <family val="2"/>
        <scheme val="minor"/>
      </rPr>
      <t>steady revenue growth with moderate profitability improvement</t>
    </r>
    <r>
      <rPr>
        <sz val="11"/>
        <color theme="1"/>
        <rFont val="Calibri"/>
        <family val="2"/>
        <scheme val="minor"/>
      </rPr>
      <t xml:space="preserve"> over the forecast period. Sales are expected to increase from </t>
    </r>
    <r>
      <rPr>
        <b/>
        <sz val="11"/>
        <color theme="1"/>
        <rFont val="Calibri"/>
        <family val="2"/>
        <scheme val="minor"/>
      </rPr>
      <t>₹17,341 Cr in Jun-26A to ₹18,809.8 Cr by Jun-27F</t>
    </r>
    <r>
      <rPr>
        <sz val="11"/>
        <color theme="1"/>
        <rFont val="Calibri"/>
        <family val="2"/>
        <scheme val="minor"/>
      </rPr>
      <t>, while operating profit and EBIT are projected to grow gradually.</t>
    </r>
  </si>
  <si>
    <t>Key observations:</t>
  </si>
  <si>
    <r>
      <t>Revenue:</t>
    </r>
    <r>
      <rPr>
        <sz val="11"/>
        <color theme="1"/>
        <rFont val="Calibri"/>
        <family val="2"/>
        <scheme val="minor"/>
      </rPr>
      <t xml:space="preserve"> Forecast growth remains positive at around </t>
    </r>
    <r>
      <rPr>
        <b/>
        <sz val="11"/>
        <color theme="1"/>
        <rFont val="Calibri"/>
        <family val="2"/>
        <scheme val="minor"/>
      </rPr>
      <t>1.25%–2.38% per quarter</t>
    </r>
    <r>
      <rPr>
        <sz val="11"/>
        <color theme="1"/>
        <rFont val="Calibri"/>
        <family val="2"/>
        <scheme val="minor"/>
      </rPr>
      <t>.</t>
    </r>
  </si>
  <si>
    <r>
      <t>Expenses:</t>
    </r>
    <r>
      <rPr>
        <sz val="11"/>
        <color theme="1"/>
        <rFont val="Calibri"/>
        <family val="2"/>
        <scheme val="minor"/>
      </rPr>
      <t xml:space="preserve"> Expected to grow around </t>
    </r>
    <r>
      <rPr>
        <b/>
        <sz val="11"/>
        <color theme="1"/>
        <rFont val="Calibri"/>
        <family val="2"/>
        <scheme val="minor"/>
      </rPr>
      <t>1.4%–2.7%</t>
    </r>
    <r>
      <rPr>
        <sz val="11"/>
        <color theme="1"/>
        <rFont val="Calibri"/>
        <family val="2"/>
        <scheme val="minor"/>
      </rPr>
      <t>, requiring continued cost monitoring.</t>
    </r>
  </si>
  <si>
    <r>
      <t>Operating Profit:</t>
    </r>
    <r>
      <rPr>
        <sz val="11"/>
        <color theme="1"/>
        <rFont val="Calibri"/>
        <family val="2"/>
        <scheme val="minor"/>
      </rPr>
      <t xml:space="preserve"> Shows gradual improvement, reaching </t>
    </r>
    <r>
      <rPr>
        <b/>
        <sz val="11"/>
        <color theme="1"/>
        <rFont val="Calibri"/>
        <family val="2"/>
        <scheme val="minor"/>
      </rPr>
      <t>₹4,139.8 Cr by Jun-27F</t>
    </r>
    <r>
      <rPr>
        <sz val="11"/>
        <color theme="1"/>
        <rFont val="Calibri"/>
        <family val="2"/>
        <scheme val="minor"/>
      </rPr>
      <t>.</t>
    </r>
  </si>
  <si>
    <r>
      <t>EBIT:</t>
    </r>
    <r>
      <rPr>
        <sz val="11"/>
        <color theme="1"/>
        <rFont val="Calibri"/>
        <family val="2"/>
        <scheme val="minor"/>
      </rPr>
      <t xml:space="preserve"> Expected to increase from </t>
    </r>
    <r>
      <rPr>
        <b/>
        <sz val="11"/>
        <color theme="1"/>
        <rFont val="Calibri"/>
        <family val="2"/>
        <scheme val="minor"/>
      </rPr>
      <t>₹3,594 Cr to ₹3,742.6 Cr</t>
    </r>
    <r>
      <rPr>
        <sz val="11"/>
        <color theme="1"/>
        <rFont val="Calibri"/>
        <family val="2"/>
        <scheme val="minor"/>
      </rPr>
      <t>.</t>
    </r>
  </si>
  <si>
    <r>
      <t>Net Profit:</t>
    </r>
    <r>
      <rPr>
        <sz val="11"/>
        <color theme="1"/>
        <rFont val="Calibri"/>
        <family val="2"/>
        <scheme val="minor"/>
      </rPr>
      <t xml:space="preserve"> Forecast to rise from </t>
    </r>
    <r>
      <rPr>
        <b/>
        <sz val="11"/>
        <color theme="1"/>
        <rFont val="Calibri"/>
        <family val="2"/>
        <scheme val="minor"/>
      </rPr>
      <t>₹2,680 Cr to ₹2,968.45 Cr</t>
    </r>
    <r>
      <rPr>
        <sz val="11"/>
        <color theme="1"/>
        <rFont val="Calibri"/>
        <family val="2"/>
        <scheme val="minor"/>
      </rPr>
      <t>.</t>
    </r>
  </si>
  <si>
    <r>
      <t>Other Income:</t>
    </r>
    <r>
      <rPr>
        <sz val="11"/>
        <color theme="1"/>
        <rFont val="Calibri"/>
        <family val="2"/>
        <scheme val="minor"/>
      </rPr>
      <t xml:space="preserve"> Historical volatility is high, so the forecast assumption of </t>
    </r>
    <r>
      <rPr>
        <b/>
        <sz val="11"/>
        <color theme="1"/>
        <rFont val="Calibri"/>
        <family val="2"/>
        <scheme val="minor"/>
      </rPr>
      <t>₹295 Cr per quarter</t>
    </r>
    <r>
      <rPr>
        <sz val="11"/>
        <color theme="1"/>
        <rFont val="Calibri"/>
        <family val="2"/>
        <scheme val="minor"/>
      </rPr>
      <t xml:space="preserve"> should be validated.</t>
    </r>
  </si>
  <si>
    <r>
      <t>Overall:</t>
    </r>
    <r>
      <rPr>
        <sz val="11"/>
        <color theme="1"/>
        <rFont val="Calibri"/>
        <family val="2"/>
        <scheme val="minor"/>
      </rPr>
      <t xml:space="preserve"> The forecast reflects </t>
    </r>
    <r>
      <rPr>
        <b/>
        <sz val="11"/>
        <color theme="1"/>
        <rFont val="Calibri"/>
        <family val="2"/>
        <scheme val="minor"/>
      </rPr>
      <t>stable top-line growth and gradual operating-profit improvement</t>
    </r>
    <r>
      <rPr>
        <sz val="11"/>
        <color theme="1"/>
        <rFont val="Calibri"/>
        <family val="2"/>
        <scheme val="minor"/>
      </rPr>
      <t xml:space="preserve">, while </t>
    </r>
    <r>
      <rPr>
        <b/>
        <sz val="11"/>
        <color theme="1"/>
        <rFont val="Calibri"/>
        <family val="2"/>
        <scheme val="minor"/>
      </rPr>
      <t>cost efficiency and the volatility of other income</t>
    </r>
    <r>
      <rPr>
        <sz val="11"/>
        <color theme="1"/>
        <rFont val="Calibri"/>
        <family val="2"/>
        <scheme val="minor"/>
      </rPr>
      <t xml:space="preserve"> remain key areas for FP&amp;A monitoring.</t>
    </r>
  </si>
  <si>
    <t>Period</t>
  </si>
  <si>
    <t>Revenue Actual</t>
  </si>
  <si>
    <t>Revenue Variance</t>
  </si>
  <si>
    <t>Revenue Budget</t>
  </si>
  <si>
    <t>RVariance%</t>
  </si>
  <si>
    <t>E Variance %</t>
  </si>
  <si>
    <t>E Variance</t>
  </si>
  <si>
    <t>Op Variance</t>
  </si>
  <si>
    <t>Op Variance %</t>
  </si>
  <si>
    <t>EBIT Variance</t>
  </si>
  <si>
    <t>EBITVariance %</t>
  </si>
  <si>
    <t>OHIVariance</t>
  </si>
  <si>
    <t>OHI Variance %</t>
  </si>
  <si>
    <t>I Variance</t>
  </si>
  <si>
    <t>I Variance %</t>
  </si>
  <si>
    <t>EBI Variance</t>
  </si>
  <si>
    <t>EBI Variance %</t>
  </si>
  <si>
    <t>T Variance</t>
  </si>
  <si>
    <t>T Variance %</t>
  </si>
  <si>
    <t>Np Variance</t>
  </si>
  <si>
    <t>NP Variance %</t>
  </si>
  <si>
    <t>Revenue Growth%</t>
  </si>
  <si>
    <t>EBITDA Growth %</t>
  </si>
  <si>
    <t>EBIT Growth%</t>
  </si>
  <si>
    <t>Net Profit%</t>
  </si>
  <si>
    <t>Expances Growth%</t>
  </si>
  <si>
    <t>intrest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</si>
</sst>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&quot;₹&quot;\ #,###.0;&quot;₹&quot;\ \(#,###.0\)"/>
    <numFmt numFmtId="167" formatCode="&quot;₹&quot;\ #,##0.0"/>
    <numFmt numFmtId="168" formatCode="&quot;₹&quot;\ #,##0.0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  <font>
      <sz val="11"/>
      <color rgb="FF0000FF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10">
    <border>
      <left/>
      <right/>
      <top/>
      <bottom/>
      <diagonal/>
    </border>
    <border>
      <left/>
      <right/>
      <top style="dashed">
        <color rgb="FF00B0F0"/>
      </top>
      <bottom style="dashed">
        <color rgb="FF00B0F0"/>
      </bottom>
      <diagonal/>
    </border>
    <border>
      <left/>
      <right/>
      <top style="dashed">
        <color rgb="FF00B0F0"/>
      </top>
      <bottom style="thick">
        <color rgb="FF00B0F0"/>
      </bottom>
      <diagonal/>
    </border>
    <border>
      <left/>
      <right/>
      <top style="dashed">
        <color theme="4" tint="0.39991454817346722"/>
      </top>
      <bottom style="dashed">
        <color theme="4" tint="0.39991454817346722"/>
      </bottom>
      <diagonal/>
    </border>
    <border>
      <left/>
      <right/>
      <top style="dashed">
        <color theme="4" tint="0.39994506668294322"/>
      </top>
      <bottom style="thick">
        <color theme="4" tint="0.39994506668294322"/>
      </bottom>
      <diagonal/>
    </border>
    <border>
      <left/>
      <right/>
      <top/>
      <bottom style="thick">
        <color rgb="FF002060"/>
      </bottom>
      <diagonal/>
    </border>
    <border>
      <left style="thick">
        <color rgb="FF0070C0"/>
      </left>
      <right style="thick">
        <color rgb="FF0070C0"/>
      </right>
      <top style="thick">
        <color rgb="FF0070C0"/>
      </top>
      <bottom style="medium">
        <color rgb="FF0070C0"/>
      </bottom>
      <diagonal/>
    </border>
    <border>
      <left style="thick">
        <color rgb="FF0070C0"/>
      </left>
      <right style="thick">
        <color rgb="FF0070C0"/>
      </right>
      <top style="medium">
        <color rgb="FF0070C0"/>
      </top>
      <bottom style="medium">
        <color rgb="FF0070C0"/>
      </bottom>
      <diagonal/>
    </border>
    <border>
      <left style="thick">
        <color rgb="FF0070C0"/>
      </left>
      <right style="thick">
        <color rgb="FF0070C0"/>
      </right>
      <top style="medium">
        <color rgb="FF0070C0"/>
      </top>
      <bottom style="thick">
        <color rgb="FF0070C0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8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  <xf numFmtId="0" fontId="11" fillId="0" borderId="0"/>
  </cellStyleXfs>
  <cellXfs count="77">
    <xf numFmtId="0" fontId="0" fillId="0" borderId="0" xfId="0"/>
    <xf numFmtId="43" fontId="1" fillId="0" borderId="0" xfId="1" applyFont="1" applyBorder="1"/>
    <xf numFmtId="0" fontId="1" fillId="0" borderId="0" xfId="0" applyFont="1"/>
    <xf numFmtId="0" fontId="8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3" fillId="0" borderId="0" xfId="1" applyNumberFormat="1" applyFont="1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9" fillId="0" borderId="0" xfId="0" applyFont="1"/>
    <xf numFmtId="164" fontId="0" fillId="0" borderId="0" xfId="1" applyNumberFormat="1" applyFont="1" applyBorder="1"/>
    <xf numFmtId="17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/>
    </xf>
    <xf numFmtId="0" fontId="0" fillId="7" borderId="0" xfId="0" applyFill="1"/>
    <xf numFmtId="17" fontId="0" fillId="7" borderId="0" xfId="0" applyNumberFormat="1" applyFill="1"/>
    <xf numFmtId="166" fontId="0" fillId="0" borderId="0" xfId="0" applyNumberFormat="1"/>
    <xf numFmtId="167" fontId="0" fillId="0" borderId="0" xfId="0" applyNumberFormat="1"/>
    <xf numFmtId="10" fontId="0" fillId="0" borderId="0" xfId="6" applyNumberFormat="1" applyFont="1"/>
    <xf numFmtId="166" fontId="0" fillId="0" borderId="0" xfId="0" applyNumberFormat="1" applyAlignment="1">
      <alignment horizontal="center"/>
    </xf>
    <xf numFmtId="0" fontId="0" fillId="0" borderId="1" xfId="0" applyBorder="1"/>
    <xf numFmtId="166" fontId="0" fillId="0" borderId="1" xfId="0" applyNumberFormat="1" applyBorder="1"/>
    <xf numFmtId="0" fontId="1" fillId="0" borderId="1" xfId="0" applyFont="1" applyBorder="1"/>
    <xf numFmtId="0" fontId="1" fillId="0" borderId="2" xfId="0" applyFont="1" applyBorder="1"/>
    <xf numFmtId="10" fontId="1" fillId="0" borderId="0" xfId="6" applyNumberFormat="1" applyFont="1"/>
    <xf numFmtId="10" fontId="3" fillId="0" borderId="0" xfId="6" applyNumberFormat="1" applyFont="1"/>
    <xf numFmtId="0" fontId="1" fillId="7" borderId="0" xfId="0" applyFont="1" applyFill="1"/>
    <xf numFmtId="17" fontId="1" fillId="7" borderId="0" xfId="0" applyNumberFormat="1" applyFont="1" applyFill="1"/>
    <xf numFmtId="166" fontId="1" fillId="0" borderId="2" xfId="0" applyNumberFormat="1" applyFont="1" applyBorder="1"/>
    <xf numFmtId="166" fontId="1" fillId="0" borderId="0" xfId="0" applyNumberFormat="1" applyFont="1"/>
    <xf numFmtId="168" fontId="0" fillId="0" borderId="0" xfId="0" applyNumberFormat="1"/>
    <xf numFmtId="0" fontId="2" fillId="7" borderId="0" xfId="0" applyFont="1" applyFill="1"/>
    <xf numFmtId="165" fontId="1" fillId="7" borderId="0" xfId="0" applyNumberFormat="1" applyFont="1" applyFill="1"/>
    <xf numFmtId="165" fontId="1" fillId="0" borderId="0" xfId="0" applyNumberFormat="1" applyFont="1"/>
    <xf numFmtId="0" fontId="1" fillId="0" borderId="3" xfId="0" applyFont="1" applyBorder="1"/>
    <xf numFmtId="168" fontId="1" fillId="0" borderId="3" xfId="0" applyNumberFormat="1" applyFont="1" applyBorder="1"/>
    <xf numFmtId="0" fontId="1" fillId="0" borderId="4" xfId="0" applyFont="1" applyBorder="1"/>
    <xf numFmtId="168" fontId="1" fillId="0" borderId="4" xfId="0" applyNumberFormat="1" applyFont="1" applyBorder="1"/>
    <xf numFmtId="43" fontId="0" fillId="0" borderId="0" xfId="0" applyNumberFormat="1"/>
    <xf numFmtId="17" fontId="1" fillId="0" borderId="0" xfId="0" applyNumberFormat="1" applyFont="1"/>
    <xf numFmtId="2" fontId="0" fillId="0" borderId="0" xfId="0" applyNumberFormat="1"/>
    <xf numFmtId="0" fontId="10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 wrapText="1"/>
    </xf>
    <xf numFmtId="17" fontId="0" fillId="0" borderId="0" xfId="0" applyNumberFormat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12" fillId="9" borderId="9" xfId="7" applyFont="1" applyFill="1" applyBorder="1" applyAlignment="1">
      <alignment horizontal="center" vertical="center" wrapText="1"/>
    </xf>
    <xf numFmtId="0" fontId="13" fillId="0" borderId="9" xfId="7" applyFont="1" applyBorder="1"/>
    <xf numFmtId="4" fontId="14" fillId="0" borderId="9" xfId="7" applyNumberFormat="1" applyFont="1" applyBorder="1"/>
    <xf numFmtId="0" fontId="13" fillId="0" borderId="9" xfId="7" applyFont="1" applyBorder="1" applyAlignment="1">
      <alignment horizontal="center"/>
    </xf>
    <xf numFmtId="10" fontId="13" fillId="0" borderId="9" xfId="7" applyNumberFormat="1" applyFont="1" applyBorder="1" applyAlignment="1">
      <alignment horizontal="center"/>
    </xf>
    <xf numFmtId="0" fontId="13" fillId="10" borderId="9" xfId="7" applyFont="1" applyFill="1" applyBorder="1"/>
    <xf numFmtId="4" fontId="14" fillId="10" borderId="9" xfId="7" applyNumberFormat="1" applyFont="1" applyFill="1" applyBorder="1"/>
    <xf numFmtId="10" fontId="13" fillId="10" borderId="9" xfId="7" applyNumberFormat="1" applyFont="1" applyFill="1" applyBorder="1" applyAlignment="1">
      <alignment horizontal="center"/>
    </xf>
    <xf numFmtId="0" fontId="0" fillId="0" borderId="0" xfId="6" applyNumberFormat="1" applyFont="1"/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1" fillId="0" borderId="5" xfId="0" applyFont="1" applyBorder="1" applyAlignment="1">
      <alignment horizontal="center"/>
    </xf>
  </cellXfs>
  <cellStyles count="8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Normal 2" xfId="7" xr:uid="{5C8D4005-5F83-4DB8-BD39-4A31F1226B0E}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screener.in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81640625" defaultRowHeight="14.5" x14ac:dyDescent="0.35"/>
  <cols>
    <col min="1" max="1" width="20.6328125" customWidth="1"/>
    <col min="2" max="6" width="13.453125" customWidth="1"/>
    <col min="7" max="7" width="14.81640625" bestFit="1" customWidth="1"/>
    <col min="8" max="11" width="13.453125" customWidth="1"/>
    <col min="12" max="12" width="13.36328125" customWidth="1"/>
    <col min="13" max="14" width="12.1796875" customWidth="1"/>
  </cols>
  <sheetData>
    <row r="1" spans="1:14" s="2" customFormat="1" x14ac:dyDescent="0.35">
      <c r="A1" s="2" t="str">
        <f>'Data Sheet'!B1</f>
        <v>HINDUSTAN UNILEVER LTD</v>
      </c>
      <c r="H1" t="str">
        <f>UPDATE</f>
        <v/>
      </c>
      <c r="J1" s="3"/>
      <c r="K1" s="3"/>
      <c r="M1" s="2" t="s">
        <v>1</v>
      </c>
    </row>
    <row r="3" spans="1:14" s="2" customFormat="1" x14ac:dyDescent="0.35">
      <c r="A3" s="11" t="s">
        <v>2</v>
      </c>
      <c r="B3" s="12">
        <f>'Data Sheet'!B16</f>
        <v>42825</v>
      </c>
      <c r="C3" s="12">
        <f>'Data Sheet'!C16</f>
        <v>43190</v>
      </c>
      <c r="D3" s="12">
        <f>'Data Sheet'!D16</f>
        <v>43555</v>
      </c>
      <c r="E3" s="12">
        <f>'Data Sheet'!E16</f>
        <v>43921</v>
      </c>
      <c r="F3" s="12">
        <f>'Data Sheet'!F16</f>
        <v>44286</v>
      </c>
      <c r="G3" s="12">
        <f>'Data Sheet'!G16</f>
        <v>44651</v>
      </c>
      <c r="H3" s="12">
        <f>'Data Sheet'!H16</f>
        <v>45016</v>
      </c>
      <c r="I3" s="12">
        <f>'Data Sheet'!I16</f>
        <v>45382</v>
      </c>
      <c r="J3" s="12">
        <f>'Data Sheet'!J16</f>
        <v>45747</v>
      </c>
      <c r="K3" s="12">
        <f>'Data Sheet'!K16</f>
        <v>46112</v>
      </c>
      <c r="L3" s="13" t="s">
        <v>3</v>
      </c>
      <c r="M3" s="13" t="s">
        <v>4</v>
      </c>
      <c r="N3" s="13" t="s">
        <v>5</v>
      </c>
    </row>
    <row r="4" spans="1:14" s="2" customFormat="1" x14ac:dyDescent="0.35">
      <c r="A4" s="2" t="s">
        <v>6</v>
      </c>
      <c r="B4" s="1">
        <f>'Data Sheet'!B17</f>
        <v>33162</v>
      </c>
      <c r="C4" s="1">
        <f>'Data Sheet'!C17</f>
        <v>35545</v>
      </c>
      <c r="D4" s="1">
        <f>'Data Sheet'!D17</f>
        <v>39310</v>
      </c>
      <c r="E4" s="1">
        <f>'Data Sheet'!E17</f>
        <v>39783</v>
      </c>
      <c r="F4" s="1">
        <f>'Data Sheet'!F17</f>
        <v>47028</v>
      </c>
      <c r="G4" s="1">
        <f>'Data Sheet'!G17</f>
        <v>52446</v>
      </c>
      <c r="H4" s="1">
        <f>'Data Sheet'!H17</f>
        <v>60580</v>
      </c>
      <c r="I4" s="1">
        <f>'Data Sheet'!I17</f>
        <v>61896</v>
      </c>
      <c r="J4" s="1">
        <f>'Data Sheet'!J17</f>
        <v>61328</v>
      </c>
      <c r="K4" s="1">
        <f>'Data Sheet'!K17</f>
        <v>64468</v>
      </c>
      <c r="L4" s="1">
        <f>SUM(Quarters!H4:K4)</f>
        <v>66052</v>
      </c>
      <c r="M4" s="1">
        <f>$K4+M23*K4</f>
        <v>67768.768327680664</v>
      </c>
      <c r="N4" s="1">
        <f>$K4+N23*L4</f>
        <v>65851.867443499083</v>
      </c>
    </row>
    <row r="5" spans="1:14" x14ac:dyDescent="0.35">
      <c r="A5" t="s">
        <v>7</v>
      </c>
      <c r="B5" s="6">
        <f>SUM('Data Sheet'!B18,'Data Sheet'!B20:B24, -1*'Data Sheet'!B19)</f>
        <v>26834</v>
      </c>
      <c r="C5" s="6">
        <f>SUM('Data Sheet'!C18,'Data Sheet'!C20:C24, -1*'Data Sheet'!C19)</f>
        <v>28046</v>
      </c>
      <c r="D5" s="6">
        <f>SUM('Data Sheet'!D18,'Data Sheet'!D20:D24, -1*'Data Sheet'!D19)</f>
        <v>30430</v>
      </c>
      <c r="E5" s="6">
        <f>SUM('Data Sheet'!E18,'Data Sheet'!E20:E24, -1*'Data Sheet'!E19)</f>
        <v>29922</v>
      </c>
      <c r="F5" s="6">
        <f>SUM('Data Sheet'!F18,'Data Sheet'!F20:F24, -1*'Data Sheet'!F19)</f>
        <v>35402</v>
      </c>
      <c r="G5" s="6">
        <f>SUM('Data Sheet'!G18,'Data Sheet'!G20:G24, -1*'Data Sheet'!G19)</f>
        <v>39589</v>
      </c>
      <c r="H5" s="6">
        <f>SUM('Data Sheet'!H18,'Data Sheet'!H20:H24, -1*'Data Sheet'!H19)</f>
        <v>46433</v>
      </c>
      <c r="I5" s="6">
        <f>SUM('Data Sheet'!I18,'Data Sheet'!I20:I24, -1*'Data Sheet'!I19)</f>
        <v>47237</v>
      </c>
      <c r="J5" s="6">
        <f>SUM('Data Sheet'!J18,'Data Sheet'!J20:J24, -1*'Data Sheet'!J19)</f>
        <v>46630</v>
      </c>
      <c r="K5" s="6">
        <f>SUM('Data Sheet'!K18,'Data Sheet'!K20:K24, -1*'Data Sheet'!K19)</f>
        <v>49429</v>
      </c>
      <c r="L5" s="6">
        <f>SUM(Quarters!H5:K5)</f>
        <v>50705</v>
      </c>
      <c r="M5" s="6">
        <f t="shared" ref="M5:N5" si="0">M4-M6</f>
        <v>51738.984220336126</v>
      </c>
      <c r="N5" s="6">
        <f t="shared" si="0"/>
        <v>50551.367690949875</v>
      </c>
    </row>
    <row r="6" spans="1:14" s="2" customFormat="1" x14ac:dyDescent="0.35">
      <c r="A6" s="2" t="s">
        <v>8</v>
      </c>
      <c r="B6" s="1">
        <f>B4-B5</f>
        <v>6328</v>
      </c>
      <c r="C6" s="1">
        <f t="shared" ref="C6:K6" si="1">C4-C5</f>
        <v>7499</v>
      </c>
      <c r="D6" s="1">
        <f t="shared" si="1"/>
        <v>8880</v>
      </c>
      <c r="E6" s="1">
        <f t="shared" si="1"/>
        <v>9861</v>
      </c>
      <c r="F6" s="1">
        <f t="shared" si="1"/>
        <v>11626</v>
      </c>
      <c r="G6" s="1">
        <f t="shared" si="1"/>
        <v>12857</v>
      </c>
      <c r="H6" s="1">
        <f t="shared" si="1"/>
        <v>14147</v>
      </c>
      <c r="I6" s="1">
        <f t="shared" si="1"/>
        <v>14659</v>
      </c>
      <c r="J6" s="1">
        <f t="shared" si="1"/>
        <v>14698</v>
      </c>
      <c r="K6" s="1">
        <f t="shared" si="1"/>
        <v>15039</v>
      </c>
      <c r="L6" s="1">
        <f>SUM(Quarters!H6:K6)</f>
        <v>15347</v>
      </c>
      <c r="M6" s="1">
        <f>M4*M24</f>
        <v>16029.784107344536</v>
      </c>
      <c r="N6" s="1">
        <f>N4*N24</f>
        <v>15300.499752549209</v>
      </c>
    </row>
    <row r="7" spans="1:14" x14ac:dyDescent="0.35">
      <c r="A7" t="s">
        <v>9</v>
      </c>
      <c r="B7" s="6">
        <f>'Data Sheet'!B25</f>
        <v>606</v>
      </c>
      <c r="C7" s="6">
        <f>'Data Sheet'!C25</f>
        <v>353</v>
      </c>
      <c r="D7" s="6">
        <f>'Data Sheet'!D25</f>
        <v>322</v>
      </c>
      <c r="E7" s="6">
        <f>'Data Sheet'!E25</f>
        <v>424</v>
      </c>
      <c r="F7" s="6">
        <f>'Data Sheet'!F25</f>
        <v>170</v>
      </c>
      <c r="G7" s="6">
        <f>'Data Sheet'!G25</f>
        <v>219</v>
      </c>
      <c r="H7" s="6">
        <f>'Data Sheet'!H25</f>
        <v>448</v>
      </c>
      <c r="I7" s="6">
        <f>'Data Sheet'!I25</f>
        <v>817</v>
      </c>
      <c r="J7" s="6">
        <f>'Data Sheet'!J25</f>
        <v>1355</v>
      </c>
      <c r="K7" s="6">
        <f>'Data Sheet'!K25</f>
        <v>4923</v>
      </c>
      <c r="L7" s="6">
        <f>SUM(Quarters!H7:K7)</f>
        <v>4933</v>
      </c>
      <c r="M7" s="6">
        <v>0</v>
      </c>
      <c r="N7" s="6">
        <v>0</v>
      </c>
    </row>
    <row r="8" spans="1:14" x14ac:dyDescent="0.35">
      <c r="A8" t="s">
        <v>10</v>
      </c>
      <c r="B8" s="6">
        <f>'Data Sheet'!B26</f>
        <v>432</v>
      </c>
      <c r="C8" s="6">
        <f>'Data Sheet'!C26</f>
        <v>520</v>
      </c>
      <c r="D8" s="6">
        <f>'Data Sheet'!D26</f>
        <v>565</v>
      </c>
      <c r="E8" s="6">
        <f>'Data Sheet'!E26</f>
        <v>1002</v>
      </c>
      <c r="F8" s="6">
        <f>'Data Sheet'!F26</f>
        <v>1074</v>
      </c>
      <c r="G8" s="6">
        <f>'Data Sheet'!G26</f>
        <v>1091</v>
      </c>
      <c r="H8" s="6">
        <f>'Data Sheet'!H26</f>
        <v>1137</v>
      </c>
      <c r="I8" s="6">
        <f>'Data Sheet'!I26</f>
        <v>1216</v>
      </c>
      <c r="J8" s="6">
        <f>'Data Sheet'!J26</f>
        <v>1253</v>
      </c>
      <c r="K8" s="6">
        <f>'Data Sheet'!K26</f>
        <v>1333</v>
      </c>
      <c r="L8" s="6">
        <f>SUM(Quarters!H8:K8)</f>
        <v>1360</v>
      </c>
      <c r="M8" s="6">
        <f>+$L8</f>
        <v>1360</v>
      </c>
      <c r="N8" s="6">
        <f>+$L8</f>
        <v>1360</v>
      </c>
    </row>
    <row r="9" spans="1:14" x14ac:dyDescent="0.35">
      <c r="A9" t="s">
        <v>11</v>
      </c>
      <c r="B9" s="6">
        <f>'Data Sheet'!B27</f>
        <v>35</v>
      </c>
      <c r="C9" s="6">
        <f>'Data Sheet'!C27</f>
        <v>26</v>
      </c>
      <c r="D9" s="6">
        <f>'Data Sheet'!D27</f>
        <v>33</v>
      </c>
      <c r="E9" s="6">
        <f>'Data Sheet'!E27</f>
        <v>118</v>
      </c>
      <c r="F9" s="6">
        <f>'Data Sheet'!F27</f>
        <v>117</v>
      </c>
      <c r="G9" s="6">
        <f>'Data Sheet'!G27</f>
        <v>106</v>
      </c>
      <c r="H9" s="6">
        <f>'Data Sheet'!H27</f>
        <v>114</v>
      </c>
      <c r="I9" s="6">
        <f>'Data Sheet'!I27</f>
        <v>334</v>
      </c>
      <c r="J9" s="6">
        <f>'Data Sheet'!J27</f>
        <v>381</v>
      </c>
      <c r="K9" s="6">
        <f>'Data Sheet'!K27</f>
        <v>410</v>
      </c>
      <c r="L9" s="6">
        <f>SUM(Quarters!H9:K9)</f>
        <v>363</v>
      </c>
      <c r="M9" s="6">
        <f>+$L9</f>
        <v>363</v>
      </c>
      <c r="N9" s="6">
        <f>+$L9</f>
        <v>363</v>
      </c>
    </row>
    <row r="10" spans="1:14" x14ac:dyDescent="0.35">
      <c r="A10" t="s">
        <v>12</v>
      </c>
      <c r="B10" s="6">
        <f>'Data Sheet'!B28</f>
        <v>6467</v>
      </c>
      <c r="C10" s="6">
        <f>'Data Sheet'!C28</f>
        <v>7306</v>
      </c>
      <c r="D10" s="6">
        <f>'Data Sheet'!D28</f>
        <v>8604</v>
      </c>
      <c r="E10" s="6">
        <f>'Data Sheet'!E28</f>
        <v>9165</v>
      </c>
      <c r="F10" s="6">
        <f>'Data Sheet'!F28</f>
        <v>10605</v>
      </c>
      <c r="G10" s="6">
        <f>'Data Sheet'!G28</f>
        <v>11879</v>
      </c>
      <c r="H10" s="6">
        <f>'Data Sheet'!H28</f>
        <v>13344</v>
      </c>
      <c r="I10" s="6">
        <f>'Data Sheet'!I28</f>
        <v>13926</v>
      </c>
      <c r="J10" s="6">
        <f>'Data Sheet'!J28</f>
        <v>14419</v>
      </c>
      <c r="K10" s="6">
        <f>'Data Sheet'!K28</f>
        <v>18219</v>
      </c>
      <c r="L10" s="6">
        <f>SUM(Quarters!H10:K10)</f>
        <v>18557</v>
      </c>
      <c r="M10" s="6">
        <f>M6+M7-SUM(M8:M9)</f>
        <v>14306.784107344536</v>
      </c>
      <c r="N10" s="6">
        <f>N6+N7-SUM(N8:N9)</f>
        <v>13577.499752549209</v>
      </c>
    </row>
    <row r="11" spans="1:14" x14ac:dyDescent="0.35">
      <c r="A11" t="s">
        <v>13</v>
      </c>
      <c r="B11" s="6">
        <f>'Data Sheet'!B29</f>
        <v>1977</v>
      </c>
      <c r="C11" s="6">
        <f>'Data Sheet'!C29</f>
        <v>2079</v>
      </c>
      <c r="D11" s="6">
        <f>'Data Sheet'!D29</f>
        <v>2544</v>
      </c>
      <c r="E11" s="6">
        <f>'Data Sheet'!E29</f>
        <v>2409</v>
      </c>
      <c r="F11" s="6">
        <f>'Data Sheet'!F29</f>
        <v>2606</v>
      </c>
      <c r="G11" s="6">
        <f>'Data Sheet'!G29</f>
        <v>2987</v>
      </c>
      <c r="H11" s="6">
        <f>'Data Sheet'!H29</f>
        <v>3201</v>
      </c>
      <c r="I11" s="6">
        <f>'Data Sheet'!I29</f>
        <v>3644</v>
      </c>
      <c r="J11" s="6">
        <f>'Data Sheet'!J29</f>
        <v>3748</v>
      </c>
      <c r="K11" s="6">
        <f>'Data Sheet'!K29</f>
        <v>3160</v>
      </c>
      <c r="L11" s="6">
        <f>SUM(Quarters!H11:K11)</f>
        <v>3586</v>
      </c>
      <c r="M11" s="7">
        <f>IF($L10&gt;0,$L11/$L10,0)</f>
        <v>0.19324244220509781</v>
      </c>
      <c r="N11" s="7">
        <f>IF($L10&gt;0,$L11/$L10,0)</f>
        <v>0.19324244220509781</v>
      </c>
    </row>
    <row r="12" spans="1:14" s="2" customFormat="1" x14ac:dyDescent="0.35">
      <c r="A12" s="2" t="s">
        <v>14</v>
      </c>
      <c r="B12" s="1">
        <f>'Data Sheet'!B30</f>
        <v>4476</v>
      </c>
      <c r="C12" s="1">
        <f>'Data Sheet'!C30</f>
        <v>5214</v>
      </c>
      <c r="D12" s="1">
        <f>'Data Sheet'!D30</f>
        <v>6054</v>
      </c>
      <c r="E12" s="1">
        <f>'Data Sheet'!E30</f>
        <v>6748</v>
      </c>
      <c r="F12" s="1">
        <f>'Data Sheet'!F30</f>
        <v>7995</v>
      </c>
      <c r="G12" s="1">
        <f>'Data Sheet'!G30</f>
        <v>8879</v>
      </c>
      <c r="H12" s="1">
        <f>'Data Sheet'!H30</f>
        <v>10120</v>
      </c>
      <c r="I12" s="1">
        <f>'Data Sheet'!I30</f>
        <v>10277</v>
      </c>
      <c r="J12" s="1">
        <f>'Data Sheet'!J30</f>
        <v>10649</v>
      </c>
      <c r="K12" s="1">
        <f>'Data Sheet'!K30</f>
        <v>15040</v>
      </c>
      <c r="L12" s="1">
        <f>SUM(Quarters!H12:K12)</f>
        <v>14957</v>
      </c>
      <c r="M12" s="1">
        <f>M10-M11*M10</f>
        <v>11542.106206340199</v>
      </c>
      <c r="N12" s="1">
        <f>N10-N11*N10</f>
        <v>10953.750541327488</v>
      </c>
    </row>
    <row r="13" spans="1:14" x14ac:dyDescent="0.35">
      <c r="A13" t="s">
        <v>57</v>
      </c>
      <c r="B13" s="6">
        <f>IF('Data Sheet'!B93&gt;0,B12/'Data Sheet'!B93,0)</f>
        <v>20.681051610220393</v>
      </c>
      <c r="C13" s="6">
        <f>IF('Data Sheet'!C93&gt;0,C12/'Data Sheet'!C93,0)</f>
        <v>24.088704088704091</v>
      </c>
      <c r="D13" s="6">
        <f>IF('Data Sheet'!D93&gt;0,D12/'Data Sheet'!D93,0)</f>
        <v>27.966923823162563</v>
      </c>
      <c r="E13" s="6">
        <f>IF('Data Sheet'!E93&gt;0,E12/'Data Sheet'!E93,0)</f>
        <v>31.171470805617147</v>
      </c>
      <c r="F13" s="6">
        <f>IF('Data Sheet'!F93&gt;0,F12/'Data Sheet'!F93,0)</f>
        <v>34.027068437180795</v>
      </c>
      <c r="G13" s="6">
        <f>IF('Data Sheet'!G93&gt;0,G12/'Data Sheet'!G93,0)</f>
        <v>37.789410963568265</v>
      </c>
      <c r="H13" s="6">
        <f>IF('Data Sheet'!H93&gt;0,H12/'Data Sheet'!H93,0)</f>
        <v>43.071161048689135</v>
      </c>
      <c r="I13" s="6">
        <f>IF('Data Sheet'!I93&gt;0,I12/'Data Sheet'!I93,0)</f>
        <v>43.739359891045282</v>
      </c>
      <c r="J13" s="6">
        <f>IF('Data Sheet'!J93&gt;0,J12/'Data Sheet'!J93,0)</f>
        <v>45.32260810350698</v>
      </c>
      <c r="K13" s="6">
        <f>IF('Data Sheet'!K93&gt;0,K12/'Data Sheet'!K93,0)</f>
        <v>64.010895471569626</v>
      </c>
      <c r="L13" s="6">
        <f>IF('Data Sheet'!$B6&gt;0,'Profit &amp; Loss'!L12/'Data Sheet'!$B6,0)</f>
        <v>63.657879330817629</v>
      </c>
      <c r="M13" s="6">
        <f>IF('Data Sheet'!$B6&gt;0,'Profit &amp; Loss'!M12/'Data Sheet'!$B6,0)</f>
        <v>49.123888754876354</v>
      </c>
      <c r="N13" s="6">
        <f>IF('Data Sheet'!$B6&gt;0,'Profit &amp; Loss'!N12/'Data Sheet'!$B6,0)</f>
        <v>46.619812140115236</v>
      </c>
    </row>
    <row r="14" spans="1:14" x14ac:dyDescent="0.35">
      <c r="A14" t="s">
        <v>16</v>
      </c>
      <c r="B14" s="6">
        <f>IF(B15&gt;0,B15/B13,"")</f>
        <v>42.193695777479896</v>
      </c>
      <c r="C14" s="6">
        <f t="shared" ref="C14:K14" si="2">IF(C15&gt;0,C15/C13,"")</f>
        <v>52.975452531645558</v>
      </c>
      <c r="D14" s="6">
        <f t="shared" si="2"/>
        <v>58.409355649157582</v>
      </c>
      <c r="E14" s="6">
        <f t="shared" si="2"/>
        <v>70.571902548903381</v>
      </c>
      <c r="F14" s="6">
        <f t="shared" si="2"/>
        <v>68.390258311444654</v>
      </c>
      <c r="G14" s="6">
        <f t="shared" si="2"/>
        <v>51.88490505687578</v>
      </c>
      <c r="H14" s="6">
        <f t="shared" si="2"/>
        <v>56.892824347826092</v>
      </c>
      <c r="I14" s="6">
        <f t="shared" si="2"/>
        <v>49.546678447017612</v>
      </c>
      <c r="J14" s="6">
        <f t="shared" si="2"/>
        <v>47.699814517795097</v>
      </c>
      <c r="K14" s="6">
        <f t="shared" si="2"/>
        <v>32.107034042553188</v>
      </c>
      <c r="L14" s="6">
        <f t="shared" ref="L14" si="3">IF(L13&gt;0,L15/L13,0)</f>
        <v>30.473054088386707</v>
      </c>
      <c r="M14" s="6">
        <f>M25</f>
        <v>39.95664527393815</v>
      </c>
      <c r="N14" s="6">
        <f>N25</f>
        <v>30.473054088386707</v>
      </c>
    </row>
    <row r="15" spans="1:14" s="2" customFormat="1" x14ac:dyDescent="0.35">
      <c r="A15" s="2" t="s">
        <v>58</v>
      </c>
      <c r="B15" s="1">
        <f>'Data Sheet'!B90</f>
        <v>872.61</v>
      </c>
      <c r="C15" s="1">
        <f>'Data Sheet'!C90</f>
        <v>1276.1099999999999</v>
      </c>
      <c r="D15" s="1">
        <f>'Data Sheet'!D90</f>
        <v>1633.53</v>
      </c>
      <c r="E15" s="1">
        <f>'Data Sheet'!E90</f>
        <v>2199.83</v>
      </c>
      <c r="F15" s="1">
        <f>'Data Sheet'!F90</f>
        <v>2327.12</v>
      </c>
      <c r="G15" s="1">
        <f>'Data Sheet'!G90</f>
        <v>1960.7</v>
      </c>
      <c r="H15" s="1">
        <f>'Data Sheet'!H90</f>
        <v>2450.44</v>
      </c>
      <c r="I15" s="1">
        <f>'Data Sheet'!I90</f>
        <v>2167.14</v>
      </c>
      <c r="J15" s="1">
        <f>'Data Sheet'!J90</f>
        <v>2161.88</v>
      </c>
      <c r="K15" s="1">
        <f>'Data Sheet'!K90</f>
        <v>2055.1999999999998</v>
      </c>
      <c r="L15" s="1">
        <f>'Data Sheet'!B8</f>
        <v>1939.85</v>
      </c>
      <c r="M15" s="8">
        <f>M13*M14</f>
        <v>1962.8257974549938</v>
      </c>
      <c r="N15" s="9">
        <f>N13*N14</f>
        <v>1420.6480569361588</v>
      </c>
    </row>
    <row r="17" spans="1:14" s="2" customFormat="1" x14ac:dyDescent="0.35">
      <c r="A17" s="2" t="s">
        <v>15</v>
      </c>
    </row>
    <row r="18" spans="1:14" x14ac:dyDescent="0.35">
      <c r="A18" t="s">
        <v>17</v>
      </c>
      <c r="B18" s="5">
        <f>IF('Data Sheet'!B30&gt;0, 'Data Sheet'!B31/'Data Sheet'!B30, 0)</f>
        <v>0.82037533512064342</v>
      </c>
      <c r="C18" s="5">
        <f>IF('Data Sheet'!C30&gt;0, 'Data Sheet'!C31/'Data Sheet'!C30, 0)</f>
        <v>0.8285385500575374</v>
      </c>
      <c r="D18" s="5">
        <f>IF('Data Sheet'!D30&gt;0, 'Data Sheet'!D31/'Data Sheet'!D30, 0)</f>
        <v>0.78493557978196238</v>
      </c>
      <c r="E18" s="5">
        <f>IF('Data Sheet'!E30&gt;0, 'Data Sheet'!E31/'Data Sheet'!E30, 0)</f>
        <v>0.80023710729104924</v>
      </c>
      <c r="F18" s="5">
        <f>IF('Data Sheet'!F30&gt;0, 'Data Sheet'!F31/'Data Sheet'!F30, 0)</f>
        <v>1.1904315196998123</v>
      </c>
      <c r="G18" s="5">
        <f>IF('Data Sheet'!G30&gt;0, 'Data Sheet'!G31/'Data Sheet'!G30, 0)</f>
        <v>0.89987611217479446</v>
      </c>
      <c r="H18" s="5">
        <f>IF('Data Sheet'!H30&gt;0, 'Data Sheet'!H31/'Data Sheet'!H30, 0)</f>
        <v>0.90563241106719372</v>
      </c>
      <c r="I18" s="5">
        <f>IF('Data Sheet'!I30&gt;0, 'Data Sheet'!I31/'Data Sheet'!I30, 0)</f>
        <v>0.96039700301644448</v>
      </c>
      <c r="J18" s="5">
        <f>IF('Data Sheet'!J30&gt;0, 'Data Sheet'!J31/'Data Sheet'!J30, 0)</f>
        <v>1.1695933890506152</v>
      </c>
      <c r="K18" s="5">
        <f>IF('Data Sheet'!K30&gt;0, 'Data Sheet'!K31/'Data Sheet'!K30, 0)</f>
        <v>0.640625</v>
      </c>
    </row>
    <row r="19" spans="1:14" x14ac:dyDescent="0.35">
      <c r="A19" t="s">
        <v>18</v>
      </c>
      <c r="B19" s="5">
        <f t="shared" ref="B19:L19" si="4">IF(B6&gt;0,B6/B4,0)</f>
        <v>0.1908208190097099</v>
      </c>
      <c r="C19" s="5">
        <f t="shared" ref="C19:K19" si="5">IF(C6&gt;0,C6/C4,0)</f>
        <v>0.21097200731467156</v>
      </c>
      <c r="D19" s="5">
        <f t="shared" si="5"/>
        <v>0.2258967183922666</v>
      </c>
      <c r="E19" s="5">
        <f t="shared" si="5"/>
        <v>0.24786969308498605</v>
      </c>
      <c r="F19" s="5">
        <f t="shared" si="5"/>
        <v>0.24721442544866887</v>
      </c>
      <c r="G19" s="5">
        <f t="shared" si="5"/>
        <v>0.24514738969606834</v>
      </c>
      <c r="H19" s="5">
        <f t="shared" si="5"/>
        <v>0.23352591614394189</v>
      </c>
      <c r="I19" s="5">
        <f t="shared" si="5"/>
        <v>0.23683275171255008</v>
      </c>
      <c r="J19" s="5">
        <f t="shared" si="5"/>
        <v>0.23966214453430734</v>
      </c>
      <c r="K19" s="5">
        <f t="shared" si="5"/>
        <v>0.23327852578023206</v>
      </c>
      <c r="L19" s="5">
        <f t="shared" si="4"/>
        <v>0.23234724156725003</v>
      </c>
    </row>
    <row r="20" spans="1:14" x14ac:dyDescent="0.3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35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35">
      <c r="A22" s="11"/>
      <c r="B22" s="12"/>
      <c r="C22" s="12"/>
      <c r="D22" s="12"/>
      <c r="E22" s="12"/>
      <c r="F22" s="12"/>
      <c r="G22" s="12" t="s">
        <v>19</v>
      </c>
      <c r="H22" s="12" t="s">
        <v>65</v>
      </c>
      <c r="I22" s="12" t="s">
        <v>66</v>
      </c>
      <c r="J22" s="12" t="s">
        <v>67</v>
      </c>
      <c r="K22" s="12" t="s">
        <v>68</v>
      </c>
      <c r="L22" s="13" t="s">
        <v>69</v>
      </c>
      <c r="M22" s="13" t="s">
        <v>20</v>
      </c>
      <c r="N22" s="13" t="s">
        <v>21</v>
      </c>
    </row>
    <row r="23" spans="1:14" s="2" customFormat="1" x14ac:dyDescent="0.35">
      <c r="A23"/>
      <c r="B23"/>
      <c r="C23"/>
      <c r="D23"/>
      <c r="E23"/>
      <c r="F23"/>
      <c r="G23" t="s">
        <v>22</v>
      </c>
      <c r="H23" s="5">
        <f>IF(B4=0,"",POWER($K4/B4,1/9)-1)</f>
        <v>7.6658974207876929E-2</v>
      </c>
      <c r="I23" s="5">
        <f>IF(D4=0,"",POWER($K4/D4,1/7)-1)</f>
        <v>7.3227008221417922E-2</v>
      </c>
      <c r="J23" s="5">
        <f>IF(F4=0,"",POWER($K4/F4,1/5)-1)</f>
        <v>6.5117542409641516E-2</v>
      </c>
      <c r="K23" s="5">
        <f>IF(H4=0,"",POWER($K4/H4, 1/3)-1)</f>
        <v>2.0951181546343456E-2</v>
      </c>
      <c r="L23" s="5">
        <f>IF(ISERROR(MAX(IF(J4=0,"",(K4-J4)/J4),IF(K4=0,"",(L4-K4)/K4))),"",MAX(IF(J4=0,"",(K4-J4)/J4),IF(K4=0,"",(L4-K4)/K4)))</f>
        <v>5.1200104356900603E-2</v>
      </c>
      <c r="M23" s="16">
        <f>MAX(K23:L23)</f>
        <v>5.1200104356900603E-2</v>
      </c>
      <c r="N23" s="16">
        <f>MIN(H23:L23)</f>
        <v>2.0951181546343456E-2</v>
      </c>
    </row>
    <row r="24" spans="1:14" x14ac:dyDescent="0.35">
      <c r="G24" t="s">
        <v>18</v>
      </c>
      <c r="H24" s="5">
        <f>IF(SUM(B4:$K$4)=0,"",SUMPRODUCT(B19:$K$19,B4:$K$4)/SUM(B4:$K$4))</f>
        <v>0.23326593293054529</v>
      </c>
      <c r="I24" s="5">
        <f>IF(SUM(E4:$K$4)=0,"",SUMPRODUCT(E19:$K$19,E4:$K$4)/SUM(E4:$K$4))</f>
        <v>0.23969044897285108</v>
      </c>
      <c r="J24" s="5">
        <f>IF(SUM(G4:$K$4)=0,"",SUMPRODUCT(G19:$K$19,G4:$K$4)/SUM(G4:$K$4))</f>
        <v>0.23743174668626421</v>
      </c>
      <c r="K24" s="5">
        <f>IF(SUM(I4:$K$4)=0, "", SUMPRODUCT(I19:$K$19,I4:$K$4)/SUM(I4:$K$4))</f>
        <v>0.23653645333844808</v>
      </c>
      <c r="L24" s="5">
        <f>L19</f>
        <v>0.23234724156725003</v>
      </c>
      <c r="M24" s="16">
        <f>MAX(K24:L24)</f>
        <v>0.23653645333844808</v>
      </c>
      <c r="N24" s="16">
        <f>MIN(H24:L24)</f>
        <v>0.23234724156725003</v>
      </c>
    </row>
    <row r="25" spans="1:14" x14ac:dyDescent="0.35">
      <c r="G25" t="s">
        <v>23</v>
      </c>
      <c r="H25" s="6">
        <f>IF(ISERROR(AVERAGEIF(B14:$L14,"&gt;0")),"",AVERAGEIF(B14:$L14,"&gt;0"))</f>
        <v>51.013179574462313</v>
      </c>
      <c r="I25" s="6">
        <f>IF(ISERROR(AVERAGEIF(E14:$L14,"&gt;0")),"",AVERAGEIF(E14:$L14,"&gt;0"))</f>
        <v>50.945808920100319</v>
      </c>
      <c r="J25" s="6">
        <f>IF(ISERROR(AVERAGEIF(G14:$L14,"&gt;0")),"",AVERAGEIF(G14:$L14,"&gt;0"))</f>
        <v>44.767385083409074</v>
      </c>
      <c r="K25" s="6">
        <f>IF(ISERROR(AVERAGEIF(I14:$L14,"&gt;0")),"",AVERAGEIF(I14:$L14,"&gt;0"))</f>
        <v>39.95664527393815</v>
      </c>
      <c r="L25" s="6">
        <f>L14</f>
        <v>30.473054088386707</v>
      </c>
      <c r="M25" s="1">
        <f>MAX(K25:L25)</f>
        <v>39.95664527393815</v>
      </c>
      <c r="N25" s="1">
        <f>MIN(H25:L25)</f>
        <v>30.473054088386707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81640625" defaultRowHeight="14.5" x14ac:dyDescent="0.35"/>
  <cols>
    <col min="1" max="1" width="22.81640625" bestFit="1" customWidth="1"/>
    <col min="2" max="2" width="13.453125" customWidth="1"/>
    <col min="3" max="11" width="15.453125" customWidth="1"/>
  </cols>
  <sheetData>
    <row r="1" spans="1:11" s="2" customFormat="1" x14ac:dyDescent="0.35">
      <c r="A1" s="2" t="str">
        <f>'Profit &amp; Loss'!A1</f>
        <v>HINDUSTAN UNILEVER LTD</v>
      </c>
      <c r="E1" t="str">
        <f>UPDATE</f>
        <v/>
      </c>
      <c r="G1"/>
      <c r="J1" s="2" t="s">
        <v>1</v>
      </c>
    </row>
    <row r="2" spans="1:11" x14ac:dyDescent="0.35">
      <c r="G2" s="2"/>
      <c r="H2" s="2"/>
    </row>
    <row r="3" spans="1:11" x14ac:dyDescent="0.35">
      <c r="A3" s="11" t="s">
        <v>2</v>
      </c>
      <c r="B3" s="12">
        <f>'Data Sheet'!B56</f>
        <v>42825</v>
      </c>
      <c r="C3" s="12">
        <f>'Data Sheet'!C56</f>
        <v>43190</v>
      </c>
      <c r="D3" s="12">
        <f>'Data Sheet'!D56</f>
        <v>43555</v>
      </c>
      <c r="E3" s="12">
        <f>'Data Sheet'!E56</f>
        <v>43921</v>
      </c>
      <c r="F3" s="12">
        <f>'Data Sheet'!F56</f>
        <v>44286</v>
      </c>
      <c r="G3" s="12">
        <f>'Data Sheet'!G56</f>
        <v>44651</v>
      </c>
      <c r="H3" s="12">
        <f>'Data Sheet'!H56</f>
        <v>45016</v>
      </c>
      <c r="I3" s="12">
        <f>'Data Sheet'!I56</f>
        <v>45382</v>
      </c>
      <c r="J3" s="12">
        <f>'Data Sheet'!J56</f>
        <v>45747</v>
      </c>
      <c r="K3" s="12">
        <f>'Data Sheet'!K56</f>
        <v>46112</v>
      </c>
    </row>
    <row r="4" spans="1:11" x14ac:dyDescent="0.35">
      <c r="A4" t="s">
        <v>24</v>
      </c>
      <c r="B4" s="14">
        <f>'Data Sheet'!B57</f>
        <v>216</v>
      </c>
      <c r="C4" s="14">
        <f>'Data Sheet'!C57</f>
        <v>216</v>
      </c>
      <c r="D4" s="14">
        <f>'Data Sheet'!D57</f>
        <v>216</v>
      </c>
      <c r="E4" s="14">
        <f>'Data Sheet'!E57</f>
        <v>216</v>
      </c>
      <c r="F4" s="14">
        <f>'Data Sheet'!F57</f>
        <v>235</v>
      </c>
      <c r="G4" s="14">
        <f>'Data Sheet'!G57</f>
        <v>235</v>
      </c>
      <c r="H4" s="14">
        <f>'Data Sheet'!H57</f>
        <v>235</v>
      </c>
      <c r="I4" s="14">
        <f>'Data Sheet'!I57</f>
        <v>235</v>
      </c>
      <c r="J4" s="14">
        <f>'Data Sheet'!J57</f>
        <v>235</v>
      </c>
      <c r="K4" s="14">
        <f>'Data Sheet'!K57</f>
        <v>235</v>
      </c>
    </row>
    <row r="5" spans="1:11" x14ac:dyDescent="0.35">
      <c r="A5" t="s">
        <v>25</v>
      </c>
      <c r="B5" s="14">
        <f>'Data Sheet'!B58</f>
        <v>6528</v>
      </c>
      <c r="C5" s="14">
        <f>'Data Sheet'!C58</f>
        <v>7065</v>
      </c>
      <c r="D5" s="14">
        <f>'Data Sheet'!D58</f>
        <v>7651</v>
      </c>
      <c r="E5" s="14">
        <f>'Data Sheet'!E58</f>
        <v>8013</v>
      </c>
      <c r="F5" s="14">
        <f>'Data Sheet'!F58</f>
        <v>47439</v>
      </c>
      <c r="G5" s="14">
        <f>'Data Sheet'!G58</f>
        <v>48826</v>
      </c>
      <c r="H5" s="14">
        <f>'Data Sheet'!H58</f>
        <v>50069</v>
      </c>
      <c r="I5" s="14">
        <f>'Data Sheet'!I58</f>
        <v>50983</v>
      </c>
      <c r="J5" s="14">
        <f>'Data Sheet'!J58</f>
        <v>49167</v>
      </c>
      <c r="K5" s="14">
        <f>'Data Sheet'!K58</f>
        <v>48504</v>
      </c>
    </row>
    <row r="6" spans="1:11" x14ac:dyDescent="0.35">
      <c r="A6" t="s">
        <v>71</v>
      </c>
      <c r="B6" s="14">
        <f>'Data Sheet'!B59</f>
        <v>277</v>
      </c>
      <c r="C6" s="14">
        <f>'Data Sheet'!C59</f>
        <v>0</v>
      </c>
      <c r="D6" s="14">
        <f>'Data Sheet'!D59</f>
        <v>99</v>
      </c>
      <c r="E6" s="14">
        <f>'Data Sheet'!E59</f>
        <v>0</v>
      </c>
      <c r="F6" s="14">
        <f>'Data Sheet'!F59</f>
        <v>0</v>
      </c>
      <c r="G6" s="14">
        <f>'Data Sheet'!G59</f>
        <v>1043</v>
      </c>
      <c r="H6" s="14">
        <f>'Data Sheet'!H59</f>
        <v>1219</v>
      </c>
      <c r="I6" s="14">
        <f>'Data Sheet'!I59</f>
        <v>1484</v>
      </c>
      <c r="J6" s="14">
        <f>'Data Sheet'!J59</f>
        <v>1648</v>
      </c>
      <c r="K6" s="14">
        <f>'Data Sheet'!K59</f>
        <v>1478</v>
      </c>
    </row>
    <row r="7" spans="1:11" x14ac:dyDescent="0.35">
      <c r="A7" t="s">
        <v>72</v>
      </c>
      <c r="B7" s="14">
        <f>'Data Sheet'!B60</f>
        <v>8685</v>
      </c>
      <c r="C7" s="14">
        <f>'Data Sheet'!C60</f>
        <v>10581</v>
      </c>
      <c r="D7" s="14">
        <f>'Data Sheet'!D60</f>
        <v>10663</v>
      </c>
      <c r="E7" s="14">
        <f>'Data Sheet'!E60</f>
        <v>11924</v>
      </c>
      <c r="F7" s="14">
        <f>'Data Sheet'!F60</f>
        <v>21066</v>
      </c>
      <c r="G7" s="14">
        <f>'Data Sheet'!G60</f>
        <v>20402</v>
      </c>
      <c r="H7" s="14">
        <f>'Data Sheet'!H60</f>
        <v>21554</v>
      </c>
      <c r="I7" s="14">
        <f>'Data Sheet'!I60</f>
        <v>25787</v>
      </c>
      <c r="J7" s="14">
        <f>'Data Sheet'!J60</f>
        <v>28813</v>
      </c>
      <c r="K7" s="14">
        <f>'Data Sheet'!K60</f>
        <v>29521</v>
      </c>
    </row>
    <row r="8" spans="1:11" s="2" customFormat="1" x14ac:dyDescent="0.35">
      <c r="A8" s="2" t="s">
        <v>26</v>
      </c>
      <c r="B8" s="15">
        <f>'Data Sheet'!B61</f>
        <v>15706</v>
      </c>
      <c r="C8" s="15">
        <f>'Data Sheet'!C61</f>
        <v>17862</v>
      </c>
      <c r="D8" s="15">
        <f>'Data Sheet'!D61</f>
        <v>18629</v>
      </c>
      <c r="E8" s="15">
        <f>'Data Sheet'!E61</f>
        <v>20153</v>
      </c>
      <c r="F8" s="15">
        <f>'Data Sheet'!F61</f>
        <v>68740</v>
      </c>
      <c r="G8" s="15">
        <f>'Data Sheet'!G61</f>
        <v>70506</v>
      </c>
      <c r="H8" s="15">
        <f>'Data Sheet'!H61</f>
        <v>73077</v>
      </c>
      <c r="I8" s="15">
        <f>'Data Sheet'!I61</f>
        <v>78489</v>
      </c>
      <c r="J8" s="15">
        <f>'Data Sheet'!J61</f>
        <v>79863</v>
      </c>
      <c r="K8" s="15">
        <f>'Data Sheet'!K61</f>
        <v>79738</v>
      </c>
    </row>
    <row r="9" spans="1:11" s="2" customFormat="1" x14ac:dyDescent="0.35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35">
      <c r="A10" t="s">
        <v>27</v>
      </c>
      <c r="B10" s="14">
        <f>'Data Sheet'!B62</f>
        <v>4419</v>
      </c>
      <c r="C10" s="14">
        <f>'Data Sheet'!C62</f>
        <v>4528</v>
      </c>
      <c r="D10" s="14">
        <f>'Data Sheet'!D62</f>
        <v>4715</v>
      </c>
      <c r="E10" s="14">
        <f>'Data Sheet'!E62</f>
        <v>5479</v>
      </c>
      <c r="F10" s="14">
        <f>'Data Sheet'!F62</f>
        <v>51443</v>
      </c>
      <c r="G10" s="14">
        <f>'Data Sheet'!G62</f>
        <v>51473</v>
      </c>
      <c r="H10" s="14">
        <f>'Data Sheet'!H62</f>
        <v>52678</v>
      </c>
      <c r="I10" s="14">
        <f>'Data Sheet'!I62</f>
        <v>53744</v>
      </c>
      <c r="J10" s="14">
        <f>'Data Sheet'!J62</f>
        <v>54335</v>
      </c>
      <c r="K10" s="14">
        <f>'Data Sheet'!K62</f>
        <v>57428</v>
      </c>
    </row>
    <row r="11" spans="1:11" x14ac:dyDescent="0.35">
      <c r="A11" t="s">
        <v>28</v>
      </c>
      <c r="B11" s="14">
        <f>'Data Sheet'!B63</f>
        <v>229</v>
      </c>
      <c r="C11" s="14">
        <f>'Data Sheet'!C63</f>
        <v>461</v>
      </c>
      <c r="D11" s="14">
        <f>'Data Sheet'!D63</f>
        <v>406</v>
      </c>
      <c r="E11" s="14">
        <f>'Data Sheet'!E63</f>
        <v>597</v>
      </c>
      <c r="F11" s="14">
        <f>'Data Sheet'!F63</f>
        <v>745</v>
      </c>
      <c r="G11" s="14">
        <f>'Data Sheet'!G63</f>
        <v>1313</v>
      </c>
      <c r="H11" s="14">
        <f>'Data Sheet'!H63</f>
        <v>1132</v>
      </c>
      <c r="I11" s="14">
        <f>'Data Sheet'!I63</f>
        <v>1025</v>
      </c>
      <c r="J11" s="14">
        <f>'Data Sheet'!J63</f>
        <v>1009</v>
      </c>
      <c r="K11" s="14">
        <f>'Data Sheet'!K63</f>
        <v>880</v>
      </c>
    </row>
    <row r="12" spans="1:11" x14ac:dyDescent="0.35">
      <c r="A12" t="s">
        <v>29</v>
      </c>
      <c r="B12" s="14">
        <f>'Data Sheet'!B64</f>
        <v>3794</v>
      </c>
      <c r="C12" s="14">
        <f>'Data Sheet'!C64</f>
        <v>2873</v>
      </c>
      <c r="D12" s="14">
        <f>'Data Sheet'!D64</f>
        <v>2716</v>
      </c>
      <c r="E12" s="14">
        <f>'Data Sheet'!E64</f>
        <v>1255</v>
      </c>
      <c r="F12" s="14">
        <f>'Data Sheet'!F64</f>
        <v>2709</v>
      </c>
      <c r="G12" s="14">
        <f>'Data Sheet'!G64</f>
        <v>3521</v>
      </c>
      <c r="H12" s="14">
        <f>'Data Sheet'!H64</f>
        <v>2882</v>
      </c>
      <c r="I12" s="14">
        <f>'Data Sheet'!I64</f>
        <v>4625</v>
      </c>
      <c r="J12" s="14">
        <f>'Data Sheet'!J64</f>
        <v>3810</v>
      </c>
      <c r="K12" s="14">
        <f>'Data Sheet'!K64</f>
        <v>4359</v>
      </c>
    </row>
    <row r="13" spans="1:11" x14ac:dyDescent="0.35">
      <c r="A13" t="s">
        <v>73</v>
      </c>
      <c r="B13" s="14">
        <f>'Data Sheet'!B65</f>
        <v>7264</v>
      </c>
      <c r="C13" s="14">
        <f>'Data Sheet'!C65</f>
        <v>10000</v>
      </c>
      <c r="D13" s="14">
        <f>'Data Sheet'!D65</f>
        <v>10792</v>
      </c>
      <c r="E13" s="14">
        <f>'Data Sheet'!E65</f>
        <v>12822</v>
      </c>
      <c r="F13" s="14">
        <f>'Data Sheet'!F65</f>
        <v>13843</v>
      </c>
      <c r="G13" s="14">
        <f>'Data Sheet'!G65</f>
        <v>14199</v>
      </c>
      <c r="H13" s="14">
        <f>'Data Sheet'!H65</f>
        <v>16385</v>
      </c>
      <c r="I13" s="14">
        <f>'Data Sheet'!I65</f>
        <v>19095</v>
      </c>
      <c r="J13" s="14">
        <f>'Data Sheet'!J65</f>
        <v>20709</v>
      </c>
      <c r="K13" s="14">
        <f>'Data Sheet'!K65</f>
        <v>17071</v>
      </c>
    </row>
    <row r="14" spans="1:11" s="2" customFormat="1" x14ac:dyDescent="0.35">
      <c r="A14" s="2" t="s">
        <v>26</v>
      </c>
      <c r="B14" s="14">
        <f>'Data Sheet'!B66</f>
        <v>15706</v>
      </c>
      <c r="C14" s="14">
        <f>'Data Sheet'!C66</f>
        <v>17862</v>
      </c>
      <c r="D14" s="14">
        <f>'Data Sheet'!D66</f>
        <v>18629</v>
      </c>
      <c r="E14" s="14">
        <f>'Data Sheet'!E66</f>
        <v>20153</v>
      </c>
      <c r="F14" s="14">
        <f>'Data Sheet'!F66</f>
        <v>68740</v>
      </c>
      <c r="G14" s="14">
        <f>'Data Sheet'!G66</f>
        <v>70506</v>
      </c>
      <c r="H14" s="14">
        <f>'Data Sheet'!H66</f>
        <v>73077</v>
      </c>
      <c r="I14" s="14">
        <f>'Data Sheet'!I66</f>
        <v>78489</v>
      </c>
      <c r="J14" s="14">
        <f>'Data Sheet'!J66</f>
        <v>79863</v>
      </c>
      <c r="K14" s="14">
        <f>'Data Sheet'!K66</f>
        <v>79738</v>
      </c>
    </row>
    <row r="15" spans="1:11" x14ac:dyDescent="0.35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35">
      <c r="A16" t="s">
        <v>30</v>
      </c>
      <c r="B16" s="4">
        <f>B13-B7</f>
        <v>-1421</v>
      </c>
      <c r="C16" s="4">
        <f t="shared" ref="C16:K16" si="0">C13-C7</f>
        <v>-581</v>
      </c>
      <c r="D16" s="4">
        <f t="shared" si="0"/>
        <v>129</v>
      </c>
      <c r="E16" s="4">
        <f t="shared" si="0"/>
        <v>898</v>
      </c>
      <c r="F16" s="4">
        <f t="shared" si="0"/>
        <v>-7223</v>
      </c>
      <c r="G16" s="4">
        <f t="shared" si="0"/>
        <v>-6203</v>
      </c>
      <c r="H16" s="4">
        <f t="shared" si="0"/>
        <v>-5169</v>
      </c>
      <c r="I16" s="4">
        <f t="shared" si="0"/>
        <v>-6692</v>
      </c>
      <c r="J16" s="4">
        <f t="shared" si="0"/>
        <v>-8104</v>
      </c>
      <c r="K16" s="4">
        <f t="shared" si="0"/>
        <v>-12450</v>
      </c>
    </row>
    <row r="17" spans="1:11" x14ac:dyDescent="0.35">
      <c r="A17" t="s">
        <v>44</v>
      </c>
      <c r="B17" s="4">
        <f>'Data Sheet'!B67</f>
        <v>1085</v>
      </c>
      <c r="C17" s="4">
        <f>'Data Sheet'!C67</f>
        <v>1310</v>
      </c>
      <c r="D17" s="4">
        <f>'Data Sheet'!D67</f>
        <v>1816</v>
      </c>
      <c r="E17" s="4">
        <f>'Data Sheet'!E67</f>
        <v>1149</v>
      </c>
      <c r="F17" s="4">
        <f>'Data Sheet'!F67</f>
        <v>1758</v>
      </c>
      <c r="G17" s="4">
        <f>'Data Sheet'!G67</f>
        <v>2236</v>
      </c>
      <c r="H17" s="4">
        <f>'Data Sheet'!H67</f>
        <v>3079</v>
      </c>
      <c r="I17" s="4">
        <f>'Data Sheet'!I67</f>
        <v>2997</v>
      </c>
      <c r="J17" s="4">
        <f>'Data Sheet'!J67</f>
        <v>3819</v>
      </c>
      <c r="K17" s="4">
        <f>'Data Sheet'!K67</f>
        <v>3379</v>
      </c>
    </row>
    <row r="18" spans="1:11" x14ac:dyDescent="0.35">
      <c r="A18" t="s">
        <v>45</v>
      </c>
      <c r="B18" s="4">
        <f>'Data Sheet'!B68</f>
        <v>2541</v>
      </c>
      <c r="C18" s="4">
        <f>'Data Sheet'!C68</f>
        <v>2513</v>
      </c>
      <c r="D18" s="4">
        <f>'Data Sheet'!D68</f>
        <v>2574</v>
      </c>
      <c r="E18" s="4">
        <f>'Data Sheet'!E68</f>
        <v>2767</v>
      </c>
      <c r="F18" s="4">
        <f>'Data Sheet'!F68</f>
        <v>3579</v>
      </c>
      <c r="G18" s="4">
        <f>'Data Sheet'!G68</f>
        <v>4096</v>
      </c>
      <c r="H18" s="4">
        <f>'Data Sheet'!H68</f>
        <v>4251</v>
      </c>
      <c r="I18" s="4">
        <f>'Data Sheet'!I68</f>
        <v>4022</v>
      </c>
      <c r="J18" s="4">
        <f>'Data Sheet'!J68</f>
        <v>4415</v>
      </c>
      <c r="K18" s="4">
        <f>'Data Sheet'!K68</f>
        <v>4789</v>
      </c>
    </row>
    <row r="20" spans="1:11" x14ac:dyDescent="0.35">
      <c r="A20" t="s">
        <v>46</v>
      </c>
      <c r="B20" s="4">
        <f>IF('Profit &amp; Loss'!B4&gt;0,'Balance Sheet'!B17/('Profit &amp; Loss'!B4/365),0)</f>
        <v>11.942132561365419</v>
      </c>
      <c r="C20" s="4">
        <f>IF('Profit &amp; Loss'!C4&gt;0,'Balance Sheet'!C17/('Profit &amp; Loss'!C4/365),0)</f>
        <v>13.4519623013082</v>
      </c>
      <c r="D20" s="4">
        <f>IF('Profit &amp; Loss'!D4&gt;0,'Balance Sheet'!D17/('Profit &amp; Loss'!D4/365),0)</f>
        <v>16.861867209361485</v>
      </c>
      <c r="E20" s="4">
        <f>IF('Profit &amp; Loss'!E4&gt;0,'Balance Sheet'!E17/('Profit &amp; Loss'!E4/365),0)</f>
        <v>10.541814342809744</v>
      </c>
      <c r="F20" s="4">
        <f>IF('Profit &amp; Loss'!F4&gt;0,'Balance Sheet'!F17/('Profit &amp; Loss'!F4/365),0)</f>
        <v>13.644424598111764</v>
      </c>
      <c r="G20" s="4">
        <f>IF('Profit &amp; Loss'!G4&gt;0,'Balance Sheet'!G17/('Profit &amp; Loss'!G4/365),0)</f>
        <v>15.56152995461999</v>
      </c>
      <c r="H20" s="4">
        <f>IF('Profit &amp; Loss'!H4&gt;0,'Balance Sheet'!H17/('Profit &amp; Loss'!H4/365),0)</f>
        <v>18.551254539451964</v>
      </c>
      <c r="I20" s="4">
        <f>IF('Profit &amp; Loss'!I4&gt;0,'Balance Sheet'!I17/('Profit &amp; Loss'!I4/365),0)</f>
        <v>17.673274525009692</v>
      </c>
      <c r="J20" s="4">
        <f>IF('Profit &amp; Loss'!J4&gt;0,'Balance Sheet'!J17/('Profit &amp; Loss'!J4/365),0)</f>
        <v>22.729177537177147</v>
      </c>
      <c r="K20" s="4">
        <f>IF('Profit &amp; Loss'!K4&gt;0,'Balance Sheet'!K17/('Profit &amp; Loss'!K4/365),0)</f>
        <v>19.130964199292674</v>
      </c>
    </row>
    <row r="21" spans="1:11" x14ac:dyDescent="0.35">
      <c r="A21" t="s">
        <v>47</v>
      </c>
      <c r="B21" s="4">
        <f>IF('Balance Sheet'!B18&gt;0,'Profit &amp; Loss'!B4/'Balance Sheet'!B18,0)</f>
        <v>13.050767414403778</v>
      </c>
      <c r="C21" s="4">
        <f>IF('Balance Sheet'!C18&gt;0,'Profit &amp; Loss'!C4/'Balance Sheet'!C18,0)</f>
        <v>14.144448865897333</v>
      </c>
      <c r="D21" s="4">
        <f>IF('Balance Sheet'!D18&gt;0,'Profit &amp; Loss'!D4/'Balance Sheet'!D18,0)</f>
        <v>15.271950271950272</v>
      </c>
      <c r="E21" s="4">
        <f>IF('Balance Sheet'!E18&gt;0,'Profit &amp; Loss'!E4/'Balance Sheet'!E18,0)</f>
        <v>14.377665341525118</v>
      </c>
      <c r="F21" s="4">
        <f>IF('Balance Sheet'!F18&gt;0,'Profit &amp; Loss'!F4/'Balance Sheet'!F18,0)</f>
        <v>13.139983235540655</v>
      </c>
      <c r="G21" s="4">
        <f>IF('Balance Sheet'!G18&gt;0,'Profit &amp; Loss'!G4/'Balance Sheet'!G18,0)</f>
        <v>12.80419921875</v>
      </c>
      <c r="H21" s="4">
        <f>IF('Balance Sheet'!H18&gt;0,'Profit &amp; Loss'!H4/'Balance Sheet'!H18,0)</f>
        <v>14.250764525993883</v>
      </c>
      <c r="I21" s="4">
        <f>IF('Balance Sheet'!I18&gt;0,'Profit &amp; Loss'!I4/'Balance Sheet'!I18,0)</f>
        <v>15.389358528095475</v>
      </c>
      <c r="J21" s="4">
        <f>IF('Balance Sheet'!J18&gt;0,'Profit &amp; Loss'!J4/'Balance Sheet'!J18,0)</f>
        <v>13.890826727066818</v>
      </c>
      <c r="K21" s="4">
        <f>IF('Balance Sheet'!K18&gt;0,'Profit &amp; Loss'!K4/'Balance Sheet'!K18,0)</f>
        <v>13.461683023595739</v>
      </c>
    </row>
    <row r="23" spans="1:11" s="2" customFormat="1" x14ac:dyDescent="0.35">
      <c r="A23" s="2" t="s">
        <v>59</v>
      </c>
      <c r="B23" s="10">
        <f>IF(SUM('Balance Sheet'!B4:B5)&gt;0,'Profit &amp; Loss'!B12/SUM('Balance Sheet'!B4:B5),"")</f>
        <v>0.66370106761565839</v>
      </c>
      <c r="C23" s="10">
        <f>IF(SUM('Balance Sheet'!C4:C5)&gt;0,'Profit &amp; Loss'!C12/SUM('Balance Sheet'!C4:C5),"")</f>
        <v>0.71611042439225381</v>
      </c>
      <c r="D23" s="10">
        <f>IF(SUM('Balance Sheet'!D4:D5)&gt;0,'Profit &amp; Loss'!D12/SUM('Balance Sheet'!D4:D5),"")</f>
        <v>0.76954366340409308</v>
      </c>
      <c r="E23" s="10">
        <f>IF(SUM('Balance Sheet'!E4:E5)&gt;0,'Profit &amp; Loss'!E12/SUM('Balance Sheet'!E4:E5),"")</f>
        <v>0.82002673471867782</v>
      </c>
      <c r="F23" s="10">
        <f>IF(SUM('Balance Sheet'!F4:F5)&gt;0,'Profit &amp; Loss'!F12/SUM('Balance Sheet'!F4:F5),"")</f>
        <v>0.16770147250073414</v>
      </c>
      <c r="G23" s="10">
        <f>IF(SUM('Balance Sheet'!G4:G5)&gt;0,'Profit &amp; Loss'!G12/SUM('Balance Sheet'!G4:G5),"")</f>
        <v>0.18097878151688715</v>
      </c>
      <c r="H23" s="10">
        <f>IF(SUM('Balance Sheet'!H4:H5)&gt;0,'Profit &amp; Loss'!H12/SUM('Balance Sheet'!H4:H5),"")</f>
        <v>0.201176844783715</v>
      </c>
      <c r="I23" s="10">
        <f>IF(SUM('Balance Sheet'!I4:I5)&gt;0,'Profit &amp; Loss'!I12/SUM('Balance Sheet'!I4:I5),"")</f>
        <v>0.20065211449099926</v>
      </c>
      <c r="J23" s="10">
        <f>IF(SUM('Balance Sheet'!J4:J5)&gt;0,'Profit &amp; Loss'!J12/SUM('Balance Sheet'!J4:J5),"")</f>
        <v>0.21555807457187967</v>
      </c>
      <c r="K23" s="10">
        <f>IF(SUM('Balance Sheet'!K4:K5)&gt;0,'Profit &amp; Loss'!K12/SUM('Balance Sheet'!K4:K5),"")</f>
        <v>0.3085824493731919</v>
      </c>
    </row>
    <row r="24" spans="1:11" s="2" customFormat="1" x14ac:dyDescent="0.35">
      <c r="A24" s="2" t="s">
        <v>60</v>
      </c>
      <c r="B24" s="10"/>
      <c r="C24" s="10">
        <f>IF((B4+B5+B6+C4+C5+C6)&gt;0,('Profit &amp; Loss'!C10+'Profit &amp; Loss'!C9)*2/(B4+B5+B6+C4+C5+C6),"")</f>
        <v>1.0253111452943644</v>
      </c>
      <c r="D24" s="10">
        <f>IF((C4+C5+C6+D4+D5+D6)&gt;0,('Profit &amp; Loss'!D10+'Profit &amp; Loss'!D9)*2/(C4+C5+C6+D4+D5+D6),"")</f>
        <v>1.1329441857414573</v>
      </c>
      <c r="E24" s="10">
        <f>IF((D4+D5+D6+E4+E5+E6)&gt;0,('Profit &amp; Loss'!E10+'Profit &amp; Loss'!E9)*2/(D4+D5+D6+E4+E5+E6),"")</f>
        <v>1.1464032108675517</v>
      </c>
      <c r="F24" s="10">
        <f>IF((E4+E5+E6+F4+F5+F6)&gt;0,('Profit &amp; Loss'!F10+'Profit &amp; Loss'!F9)*2/(E4+E5+E6+F4+F5+F6),"")</f>
        <v>0.38359300931971452</v>
      </c>
      <c r="G24" s="10">
        <f>IF((F4+F5+F6+G4+G5+G6)&gt;0,('Profit &amp; Loss'!G10+'Profit &amp; Loss'!G9)*2/(F4+F5+F6+G4+G5+G6),"")</f>
        <v>0.2451471701200679</v>
      </c>
      <c r="H24" s="10">
        <f>IF((G4+G5+G6+H4+H5+H6)&gt;0,('Profit &amp; Loss'!H10+'Profit &amp; Loss'!H9)*2/(G4+G5+G6+H4+H5+H6),"")</f>
        <v>0.26485087624351794</v>
      </c>
      <c r="I24" s="10">
        <f>IF((H4+H5+H6+I4+I5+I6)&gt;0,('Profit &amp; Loss'!I10+'Profit &amp; Loss'!I9)*2/(H4+H5+H6+I4+I5+I6),"")</f>
        <v>0.27363876229311584</v>
      </c>
      <c r="J24" s="10">
        <f>IF((I4+I5+I6+J4+J5+J6)&gt;0,('Profit &amp; Loss'!J10+'Profit &amp; Loss'!J9)*2/(I4+I5+I6+J4+J5+J6),"")</f>
        <v>0.28529570514303337</v>
      </c>
      <c r="K24" s="10">
        <f>IF((J4+J5+J6+K4+K5+K6)&gt;0,('Profit &amp; Loss'!K10+'Profit &amp; Loss'!K9)*2/(J4+J5+J6+K4+K5+K6),"")</f>
        <v>0.36791847294775198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1640625" defaultRowHeight="14.5" x14ac:dyDescent="0.35"/>
  <cols>
    <col min="1" max="1" width="26.81640625" bestFit="1" customWidth="1"/>
    <col min="2" max="6" width="13.453125" customWidth="1"/>
    <col min="7" max="11" width="13.453125" bestFit="1" customWidth="1"/>
  </cols>
  <sheetData>
    <row r="1" spans="1:11" s="2" customFormat="1" x14ac:dyDescent="0.35">
      <c r="A1" s="2" t="str">
        <f>'Balance Sheet'!A1</f>
        <v>HINDUSTAN UNILEVER LTD</v>
      </c>
      <c r="E1" t="str">
        <f>UPDATE</f>
        <v/>
      </c>
      <c r="F1"/>
      <c r="J1" s="2" t="s">
        <v>1</v>
      </c>
    </row>
    <row r="3" spans="1:11" s="2" customFormat="1" x14ac:dyDescent="0.35">
      <c r="A3" s="11" t="s">
        <v>2</v>
      </c>
      <c r="B3" s="12">
        <f>'Data Sheet'!B81</f>
        <v>42825</v>
      </c>
      <c r="C3" s="12">
        <f>'Data Sheet'!C81</f>
        <v>43190</v>
      </c>
      <c r="D3" s="12">
        <f>'Data Sheet'!D81</f>
        <v>43555</v>
      </c>
      <c r="E3" s="12">
        <f>'Data Sheet'!E81</f>
        <v>43921</v>
      </c>
      <c r="F3" s="12">
        <f>'Data Sheet'!F81</f>
        <v>44286</v>
      </c>
      <c r="G3" s="12">
        <f>'Data Sheet'!G81</f>
        <v>44651</v>
      </c>
      <c r="H3" s="12">
        <f>'Data Sheet'!H81</f>
        <v>45016</v>
      </c>
      <c r="I3" s="12">
        <f>'Data Sheet'!I81</f>
        <v>45382</v>
      </c>
      <c r="J3" s="12">
        <f>'Data Sheet'!J81</f>
        <v>45747</v>
      </c>
      <c r="K3" s="12">
        <f>'Data Sheet'!K81</f>
        <v>46112</v>
      </c>
    </row>
    <row r="4" spans="1:11" s="2" customFormat="1" x14ac:dyDescent="0.35">
      <c r="A4" s="2" t="s">
        <v>32</v>
      </c>
      <c r="B4" s="1">
        <f>'Data Sheet'!B82</f>
        <v>5185</v>
      </c>
      <c r="C4" s="1">
        <f>'Data Sheet'!C82</f>
        <v>6059</v>
      </c>
      <c r="D4" s="1">
        <f>'Data Sheet'!D82</f>
        <v>5800</v>
      </c>
      <c r="E4" s="1">
        <f>'Data Sheet'!E82</f>
        <v>7623</v>
      </c>
      <c r="F4" s="1">
        <f>'Data Sheet'!F82</f>
        <v>9163</v>
      </c>
      <c r="G4" s="1">
        <f>'Data Sheet'!G82</f>
        <v>9048</v>
      </c>
      <c r="H4" s="1">
        <f>'Data Sheet'!H82</f>
        <v>9991</v>
      </c>
      <c r="I4" s="1">
        <f>'Data Sheet'!I82</f>
        <v>15469</v>
      </c>
      <c r="J4" s="1">
        <f>'Data Sheet'!J82</f>
        <v>11886</v>
      </c>
      <c r="K4" s="1">
        <f>'Data Sheet'!K82</f>
        <v>10999</v>
      </c>
    </row>
    <row r="5" spans="1:11" x14ac:dyDescent="0.35">
      <c r="A5" t="s">
        <v>33</v>
      </c>
      <c r="B5" s="6">
        <f>'Data Sheet'!B83</f>
        <v>-1173</v>
      </c>
      <c r="C5" s="6">
        <f>'Data Sheet'!C83</f>
        <v>-1063</v>
      </c>
      <c r="D5" s="6">
        <f>'Data Sheet'!D83</f>
        <v>-438</v>
      </c>
      <c r="E5" s="6">
        <f>'Data Sheet'!E83</f>
        <v>1791</v>
      </c>
      <c r="F5" s="6">
        <f>'Data Sheet'!F83</f>
        <v>-1228</v>
      </c>
      <c r="G5" s="6">
        <f>'Data Sheet'!G83</f>
        <v>-1728</v>
      </c>
      <c r="H5" s="6">
        <f>'Data Sheet'!H83</f>
        <v>-1484</v>
      </c>
      <c r="I5" s="6">
        <f>'Data Sheet'!I83</f>
        <v>-5324</v>
      </c>
      <c r="J5" s="6">
        <f>'Data Sheet'!J83</f>
        <v>6473</v>
      </c>
      <c r="K5" s="6">
        <f>'Data Sheet'!K83</f>
        <v>-3676</v>
      </c>
    </row>
    <row r="6" spans="1:11" x14ac:dyDescent="0.35">
      <c r="A6" t="s">
        <v>34</v>
      </c>
      <c r="B6" s="6">
        <f>'Data Sheet'!B84</f>
        <v>-4214</v>
      </c>
      <c r="C6" s="6">
        <f>'Data Sheet'!C84</f>
        <v>-4975</v>
      </c>
      <c r="D6" s="6">
        <f>'Data Sheet'!D84</f>
        <v>-5390</v>
      </c>
      <c r="E6" s="6">
        <f>'Data Sheet'!E84</f>
        <v>-6819</v>
      </c>
      <c r="F6" s="6">
        <f>'Data Sheet'!F84</f>
        <v>-9309</v>
      </c>
      <c r="G6" s="6">
        <f>'Data Sheet'!G84</f>
        <v>-8015</v>
      </c>
      <c r="H6" s="6">
        <f>'Data Sheet'!H84</f>
        <v>-8953</v>
      </c>
      <c r="I6" s="6">
        <f>'Data Sheet'!I84</f>
        <v>-10034</v>
      </c>
      <c r="J6" s="6">
        <f>'Data Sheet'!J84</f>
        <v>-13101</v>
      </c>
      <c r="K6" s="6">
        <f>'Data Sheet'!K84</f>
        <v>-10810</v>
      </c>
    </row>
    <row r="7" spans="1:11" s="2" customFormat="1" x14ac:dyDescent="0.35">
      <c r="A7" s="2" t="s">
        <v>35</v>
      </c>
      <c r="B7" s="1">
        <f>'Data Sheet'!B85</f>
        <v>-202</v>
      </c>
      <c r="C7" s="1">
        <f>'Data Sheet'!C85</f>
        <v>21</v>
      </c>
      <c r="D7" s="1">
        <f>'Data Sheet'!D85</f>
        <v>-28</v>
      </c>
      <c r="E7" s="1">
        <f>'Data Sheet'!E85</f>
        <v>2595</v>
      </c>
      <c r="F7" s="1">
        <f>'Data Sheet'!F85</f>
        <v>-1374</v>
      </c>
      <c r="G7" s="1">
        <f>'Data Sheet'!G85</f>
        <v>-695</v>
      </c>
      <c r="H7" s="1">
        <f>'Data Sheet'!H85</f>
        <v>-446</v>
      </c>
      <c r="I7" s="1">
        <f>'Data Sheet'!I85</f>
        <v>111</v>
      </c>
      <c r="J7" s="1">
        <f>'Data Sheet'!J85</f>
        <v>5258</v>
      </c>
      <c r="K7" s="1">
        <f>'Data Sheet'!K85</f>
        <v>-3487</v>
      </c>
    </row>
    <row r="8" spans="1:11" x14ac:dyDescent="0.35">
      <c r="B8" s="6"/>
      <c r="C8" s="6"/>
      <c r="D8" s="6"/>
      <c r="E8" s="6"/>
      <c r="F8" s="6"/>
      <c r="G8" s="6"/>
      <c r="H8" s="6"/>
      <c r="I8" s="6"/>
      <c r="J8" s="6"/>
      <c r="K8" s="6"/>
    </row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81640625" defaultRowHeight="14.5" x14ac:dyDescent="0.35"/>
  <cols>
    <col min="1" max="1" width="8.81640625" style="2"/>
    <col min="2" max="2" width="10.453125" customWidth="1"/>
    <col min="3" max="3" width="13.36328125" style="20" customWidth="1"/>
    <col min="6" max="6" width="6.81640625" customWidth="1"/>
  </cols>
  <sheetData>
    <row r="1" spans="1:7" ht="21" x14ac:dyDescent="0.5">
      <c r="A1" s="19" t="s">
        <v>56</v>
      </c>
    </row>
    <row r="3" spans="1:7" x14ac:dyDescent="0.35">
      <c r="A3" s="2" t="s">
        <v>48</v>
      </c>
    </row>
    <row r="4" spans="1:7" x14ac:dyDescent="0.35">
      <c r="B4" t="s">
        <v>90</v>
      </c>
    </row>
    <row r="5" spans="1:7" x14ac:dyDescent="0.35">
      <c r="B5" t="s">
        <v>49</v>
      </c>
    </row>
    <row r="7" spans="1:7" x14ac:dyDescent="0.35">
      <c r="A7" s="2" t="s">
        <v>50</v>
      </c>
    </row>
    <row r="8" spans="1:7" x14ac:dyDescent="0.35">
      <c r="B8" t="s">
        <v>51</v>
      </c>
      <c r="C8" s="21" t="s">
        <v>91</v>
      </c>
    </row>
    <row r="10" spans="1:7" x14ac:dyDescent="0.35">
      <c r="A10" s="2" t="s">
        <v>52</v>
      </c>
    </row>
    <row r="11" spans="1:7" x14ac:dyDescent="0.35">
      <c r="B11" t="s">
        <v>53</v>
      </c>
    </row>
    <row r="14" spans="1:7" x14ac:dyDescent="0.35">
      <c r="A14" s="2" t="s">
        <v>54</v>
      </c>
    </row>
    <row r="15" spans="1:7" x14ac:dyDescent="0.35">
      <c r="B15" t="s">
        <v>55</v>
      </c>
    </row>
    <row r="16" spans="1:7" x14ac:dyDescent="0.35">
      <c r="B16" t="s">
        <v>92</v>
      </c>
      <c r="G16" s="22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B36" activePane="bottomRight" state="frozen"/>
      <selection activeCell="C4" sqref="C4"/>
      <selection pane="topRight" activeCell="C4" sqref="C4"/>
      <selection pane="bottomLeft" activeCell="C4" sqref="C4"/>
      <selection pane="bottomRight" activeCell="B1" sqref="B1"/>
    </sheetView>
  </sheetViews>
  <sheetFormatPr defaultColWidth="8.81640625" defaultRowHeight="14.5" x14ac:dyDescent="0.35"/>
  <cols>
    <col min="1" max="1" width="27.6328125" style="4" bestFit="1" customWidth="1"/>
    <col min="2" max="11" width="13.453125" style="4" bestFit="1" customWidth="1"/>
    <col min="12" max="16384" width="8.81640625" style="4"/>
  </cols>
  <sheetData>
    <row r="1" spans="1:11" s="1" customFormat="1" x14ac:dyDescent="0.35">
      <c r="A1" s="1" t="s">
        <v>0</v>
      </c>
      <c r="B1" s="1" t="s">
        <v>63</v>
      </c>
      <c r="E1" s="72" t="str">
        <f>IF(B2&lt;&gt;B3, "A NEW VERSION OF THE WORKSHEET IS AVAILABLE", "")</f>
        <v/>
      </c>
      <c r="F1" s="72"/>
      <c r="G1" s="72"/>
      <c r="H1" s="72"/>
      <c r="I1" s="72"/>
      <c r="J1" s="72"/>
      <c r="K1" s="72"/>
    </row>
    <row r="2" spans="1:11" x14ac:dyDescent="0.35">
      <c r="A2" s="1" t="s">
        <v>61</v>
      </c>
      <c r="B2" s="4">
        <v>2.1</v>
      </c>
      <c r="E2" s="73" t="s">
        <v>36</v>
      </c>
      <c r="F2" s="73"/>
      <c r="G2" s="73"/>
      <c r="H2" s="73"/>
      <c r="I2" s="73"/>
      <c r="J2" s="73"/>
      <c r="K2" s="73"/>
    </row>
    <row r="3" spans="1:11" x14ac:dyDescent="0.35">
      <c r="A3" s="1" t="s">
        <v>62</v>
      </c>
      <c r="B3" s="4">
        <v>2.1</v>
      </c>
    </row>
    <row r="4" spans="1:11" x14ac:dyDescent="0.35">
      <c r="A4" s="1"/>
    </row>
    <row r="5" spans="1:11" x14ac:dyDescent="0.35">
      <c r="A5" s="1" t="s">
        <v>64</v>
      </c>
    </row>
    <row r="6" spans="1:11" x14ac:dyDescent="0.35">
      <c r="A6" s="4" t="s">
        <v>42</v>
      </c>
      <c r="B6" s="4">
        <f>IF(B9&gt;0, B9/B8, 0)</f>
        <v>234.95913086063356</v>
      </c>
    </row>
    <row r="7" spans="1:11" x14ac:dyDescent="0.35">
      <c r="A7" s="4" t="s">
        <v>31</v>
      </c>
      <c r="B7">
        <v>1</v>
      </c>
    </row>
    <row r="8" spans="1:11" x14ac:dyDescent="0.35">
      <c r="A8" s="4" t="s">
        <v>43</v>
      </c>
      <c r="B8">
        <v>1939.85</v>
      </c>
    </row>
    <row r="9" spans="1:11" x14ac:dyDescent="0.35">
      <c r="A9" s="4" t="s">
        <v>79</v>
      </c>
      <c r="B9">
        <v>455785.47</v>
      </c>
    </row>
    <row r="15" spans="1:11" x14ac:dyDescent="0.35">
      <c r="A15" s="1" t="s">
        <v>37</v>
      </c>
    </row>
    <row r="16" spans="1:11" s="18" customFormat="1" x14ac:dyDescent="0.35">
      <c r="A16" s="17" t="s">
        <v>38</v>
      </c>
      <c r="B16" s="12">
        <v>42825</v>
      </c>
      <c r="C16" s="12">
        <v>43190</v>
      </c>
      <c r="D16" s="12">
        <v>43555</v>
      </c>
      <c r="E16" s="12">
        <v>43921</v>
      </c>
      <c r="F16" s="12">
        <v>44286</v>
      </c>
      <c r="G16" s="12">
        <v>44651</v>
      </c>
      <c r="H16" s="12">
        <v>45016</v>
      </c>
      <c r="I16" s="12">
        <v>45382</v>
      </c>
      <c r="J16" s="12">
        <v>45747</v>
      </c>
      <c r="K16" s="12">
        <v>46112</v>
      </c>
    </row>
    <row r="17" spans="1:11" s="6" customFormat="1" x14ac:dyDescent="0.35">
      <c r="A17" s="6" t="s">
        <v>6</v>
      </c>
      <c r="B17">
        <v>33162</v>
      </c>
      <c r="C17">
        <v>35545</v>
      </c>
      <c r="D17">
        <v>39310</v>
      </c>
      <c r="E17">
        <v>39783</v>
      </c>
      <c r="F17">
        <v>47028</v>
      </c>
      <c r="G17">
        <v>52446</v>
      </c>
      <c r="H17">
        <v>60580</v>
      </c>
      <c r="I17">
        <v>61896</v>
      </c>
      <c r="J17">
        <v>61328</v>
      </c>
      <c r="K17">
        <v>64468</v>
      </c>
    </row>
    <row r="18" spans="1:11" s="6" customFormat="1" x14ac:dyDescent="0.35">
      <c r="A18" s="4" t="s">
        <v>80</v>
      </c>
      <c r="B18">
        <v>13606</v>
      </c>
      <c r="C18">
        <v>14233</v>
      </c>
      <c r="D18">
        <v>15845</v>
      </c>
      <c r="E18">
        <v>15697</v>
      </c>
      <c r="F18">
        <v>20141</v>
      </c>
      <c r="G18">
        <v>22871</v>
      </c>
      <c r="H18">
        <v>28427</v>
      </c>
      <c r="I18">
        <v>26822</v>
      </c>
      <c r="J18">
        <v>26602</v>
      </c>
      <c r="K18">
        <v>29158</v>
      </c>
    </row>
    <row r="19" spans="1:11" s="6" customFormat="1" x14ac:dyDescent="0.35">
      <c r="A19" s="4" t="s">
        <v>81</v>
      </c>
      <c r="B19">
        <v>-144</v>
      </c>
      <c r="C19">
        <v>72</v>
      </c>
      <c r="D19">
        <v>-12</v>
      </c>
      <c r="E19">
        <v>108</v>
      </c>
      <c r="F19">
        <v>405</v>
      </c>
      <c r="G19">
        <v>22</v>
      </c>
      <c r="H19">
        <v>75</v>
      </c>
      <c r="I19">
        <v>11</v>
      </c>
      <c r="J19">
        <v>125</v>
      </c>
      <c r="K19">
        <v>429</v>
      </c>
    </row>
    <row r="20" spans="1:11" s="6" customFormat="1" x14ac:dyDescent="0.35">
      <c r="A20" s="4" t="s">
        <v>82</v>
      </c>
      <c r="B20">
        <v>295</v>
      </c>
      <c r="C20">
        <v>295</v>
      </c>
      <c r="D20">
        <v>308</v>
      </c>
      <c r="E20">
        <v>299</v>
      </c>
      <c r="F20">
        <v>339</v>
      </c>
      <c r="G20">
        <v>318</v>
      </c>
      <c r="H20">
        <v>384</v>
      </c>
      <c r="I20">
        <v>446</v>
      </c>
      <c r="J20">
        <v>403</v>
      </c>
      <c r="K20">
        <v>426</v>
      </c>
    </row>
    <row r="21" spans="1:11" s="6" customFormat="1" x14ac:dyDescent="0.35">
      <c r="A21" s="4" t="s">
        <v>83</v>
      </c>
      <c r="B21">
        <v>2887</v>
      </c>
      <c r="C21">
        <v>2998</v>
      </c>
      <c r="D21">
        <v>3041</v>
      </c>
      <c r="E21">
        <v>2906</v>
      </c>
      <c r="F21">
        <v>2868</v>
      </c>
      <c r="G21">
        <v>3354</v>
      </c>
      <c r="H21">
        <v>3791</v>
      </c>
      <c r="I21">
        <v>3385</v>
      </c>
      <c r="J21">
        <v>3687</v>
      </c>
      <c r="K21">
        <v>3304</v>
      </c>
    </row>
    <row r="22" spans="1:11" s="6" customFormat="1" x14ac:dyDescent="0.35">
      <c r="A22" s="4" t="s">
        <v>84</v>
      </c>
      <c r="B22">
        <v>1743</v>
      </c>
      <c r="C22">
        <v>1860</v>
      </c>
      <c r="D22">
        <v>1875</v>
      </c>
      <c r="E22">
        <v>1820</v>
      </c>
      <c r="F22">
        <v>2358</v>
      </c>
      <c r="G22">
        <v>2545</v>
      </c>
      <c r="H22">
        <v>2854</v>
      </c>
      <c r="I22">
        <v>3009</v>
      </c>
      <c r="J22">
        <v>2952</v>
      </c>
      <c r="K22">
        <v>3175</v>
      </c>
    </row>
    <row r="23" spans="1:11" s="6" customFormat="1" x14ac:dyDescent="0.35">
      <c r="A23" s="4" t="s">
        <v>85</v>
      </c>
      <c r="B23">
        <v>6689</v>
      </c>
      <c r="C23">
        <v>7252</v>
      </c>
      <c r="D23">
        <v>7796</v>
      </c>
      <c r="E23">
        <v>7620</v>
      </c>
      <c r="F23">
        <v>7906</v>
      </c>
      <c r="G23">
        <v>8164</v>
      </c>
      <c r="H23">
        <v>8785</v>
      </c>
      <c r="I23">
        <v>10780</v>
      </c>
      <c r="J23">
        <v>10145</v>
      </c>
      <c r="K23">
        <v>10744</v>
      </c>
    </row>
    <row r="24" spans="1:11" s="6" customFormat="1" x14ac:dyDescent="0.35">
      <c r="A24" s="4" t="s">
        <v>86</v>
      </c>
      <c r="B24">
        <v>1470</v>
      </c>
      <c r="C24">
        <v>1480</v>
      </c>
      <c r="D24">
        <v>1553</v>
      </c>
      <c r="E24">
        <v>1688</v>
      </c>
      <c r="F24">
        <v>2195</v>
      </c>
      <c r="G24">
        <v>2359</v>
      </c>
      <c r="H24">
        <v>2267</v>
      </c>
      <c r="I24">
        <v>2806</v>
      </c>
      <c r="J24">
        <v>2966</v>
      </c>
      <c r="K24">
        <v>3051</v>
      </c>
    </row>
    <row r="25" spans="1:11" s="6" customFormat="1" x14ac:dyDescent="0.35">
      <c r="A25" s="6" t="s">
        <v>9</v>
      </c>
      <c r="B25">
        <v>606</v>
      </c>
      <c r="C25">
        <v>353</v>
      </c>
      <c r="D25">
        <v>322</v>
      </c>
      <c r="E25">
        <v>424</v>
      </c>
      <c r="F25">
        <v>170</v>
      </c>
      <c r="G25">
        <v>219</v>
      </c>
      <c r="H25">
        <v>448</v>
      </c>
      <c r="I25">
        <v>817</v>
      </c>
      <c r="J25">
        <v>1355</v>
      </c>
      <c r="K25">
        <v>4923</v>
      </c>
    </row>
    <row r="26" spans="1:11" s="6" customFormat="1" x14ac:dyDescent="0.35">
      <c r="A26" s="6" t="s">
        <v>10</v>
      </c>
      <c r="B26">
        <v>432</v>
      </c>
      <c r="C26">
        <v>520</v>
      </c>
      <c r="D26">
        <v>565</v>
      </c>
      <c r="E26">
        <v>1002</v>
      </c>
      <c r="F26">
        <v>1074</v>
      </c>
      <c r="G26">
        <v>1091</v>
      </c>
      <c r="H26">
        <v>1137</v>
      </c>
      <c r="I26">
        <v>1216</v>
      </c>
      <c r="J26">
        <v>1253</v>
      </c>
      <c r="K26">
        <v>1333</v>
      </c>
    </row>
    <row r="27" spans="1:11" s="6" customFormat="1" x14ac:dyDescent="0.35">
      <c r="A27" s="6" t="s">
        <v>11</v>
      </c>
      <c r="B27">
        <v>35</v>
      </c>
      <c r="C27">
        <v>26</v>
      </c>
      <c r="D27">
        <v>33</v>
      </c>
      <c r="E27">
        <v>118</v>
      </c>
      <c r="F27">
        <v>117</v>
      </c>
      <c r="G27">
        <v>106</v>
      </c>
      <c r="H27">
        <v>114</v>
      </c>
      <c r="I27">
        <v>334</v>
      </c>
      <c r="J27">
        <v>381</v>
      </c>
      <c r="K27">
        <v>410</v>
      </c>
    </row>
    <row r="28" spans="1:11" s="6" customFormat="1" x14ac:dyDescent="0.35">
      <c r="A28" s="6" t="s">
        <v>12</v>
      </c>
      <c r="B28">
        <v>6467</v>
      </c>
      <c r="C28">
        <v>7306</v>
      </c>
      <c r="D28">
        <v>8604</v>
      </c>
      <c r="E28">
        <v>9165</v>
      </c>
      <c r="F28">
        <v>10605</v>
      </c>
      <c r="G28">
        <v>11879</v>
      </c>
      <c r="H28">
        <v>13344</v>
      </c>
      <c r="I28">
        <v>13926</v>
      </c>
      <c r="J28">
        <v>14419</v>
      </c>
      <c r="K28">
        <v>18219</v>
      </c>
    </row>
    <row r="29" spans="1:11" s="6" customFormat="1" x14ac:dyDescent="0.35">
      <c r="A29" s="6" t="s">
        <v>13</v>
      </c>
      <c r="B29">
        <v>1977</v>
      </c>
      <c r="C29">
        <v>2079</v>
      </c>
      <c r="D29">
        <v>2544</v>
      </c>
      <c r="E29">
        <v>2409</v>
      </c>
      <c r="F29">
        <v>2606</v>
      </c>
      <c r="G29">
        <v>2987</v>
      </c>
      <c r="H29">
        <v>3201</v>
      </c>
      <c r="I29">
        <v>3644</v>
      </c>
      <c r="J29">
        <v>3748</v>
      </c>
      <c r="K29">
        <v>3160</v>
      </c>
    </row>
    <row r="30" spans="1:11" s="6" customFormat="1" x14ac:dyDescent="0.35">
      <c r="A30" s="6" t="s">
        <v>14</v>
      </c>
      <c r="B30">
        <v>4476</v>
      </c>
      <c r="C30">
        <v>5214</v>
      </c>
      <c r="D30">
        <v>6054</v>
      </c>
      <c r="E30">
        <v>6748</v>
      </c>
      <c r="F30">
        <v>7995</v>
      </c>
      <c r="G30">
        <v>8879</v>
      </c>
      <c r="H30">
        <v>10120</v>
      </c>
      <c r="I30">
        <v>10277</v>
      </c>
      <c r="J30">
        <v>10649</v>
      </c>
      <c r="K30">
        <v>15040</v>
      </c>
    </row>
    <row r="31" spans="1:11" s="6" customFormat="1" x14ac:dyDescent="0.35">
      <c r="A31" s="6" t="s">
        <v>70</v>
      </c>
      <c r="B31">
        <v>3672</v>
      </c>
      <c r="C31">
        <v>4320</v>
      </c>
      <c r="D31">
        <v>4752</v>
      </c>
      <c r="E31">
        <v>5400</v>
      </c>
      <c r="F31">
        <v>9517.5</v>
      </c>
      <c r="G31">
        <v>7990</v>
      </c>
      <c r="H31">
        <v>9165</v>
      </c>
      <c r="I31">
        <v>9870</v>
      </c>
      <c r="J31">
        <v>12455</v>
      </c>
      <c r="K31">
        <v>9635</v>
      </c>
    </row>
    <row r="32" spans="1:11" s="6" customFormat="1" x14ac:dyDescent="0.35"/>
    <row r="33" spans="1:11" x14ac:dyDescent="0.35">
      <c r="A33" s="6"/>
    </row>
    <row r="34" spans="1:11" x14ac:dyDescent="0.35">
      <c r="A34" s="6"/>
    </row>
    <row r="35" spans="1:11" x14ac:dyDescent="0.35">
      <c r="A35" s="6"/>
    </row>
    <row r="36" spans="1:11" x14ac:dyDescent="0.35">
      <c r="A36" s="6"/>
    </row>
    <row r="37" spans="1:11" x14ac:dyDescent="0.35">
      <c r="A37" s="6"/>
    </row>
    <row r="38" spans="1:11" x14ac:dyDescent="0.35">
      <c r="A38" s="6"/>
    </row>
    <row r="39" spans="1:11" x14ac:dyDescent="0.35">
      <c r="A39" s="6"/>
    </row>
    <row r="40" spans="1:11" x14ac:dyDescent="0.35">
      <c r="A40" s="1" t="s">
        <v>39</v>
      </c>
    </row>
    <row r="41" spans="1:11" s="18" customFormat="1" x14ac:dyDescent="0.35">
      <c r="A41" s="17" t="s">
        <v>38</v>
      </c>
      <c r="B41" s="12">
        <v>45382</v>
      </c>
      <c r="C41" s="12">
        <v>45473</v>
      </c>
      <c r="D41" s="12">
        <v>45565</v>
      </c>
      <c r="E41" s="12">
        <v>45657</v>
      </c>
      <c r="F41" s="12">
        <v>45747</v>
      </c>
      <c r="G41" s="12">
        <v>45838</v>
      </c>
      <c r="H41" s="12">
        <v>45930</v>
      </c>
      <c r="I41" s="12">
        <v>46022</v>
      </c>
      <c r="J41" s="12">
        <v>46112</v>
      </c>
      <c r="K41" s="12">
        <v>46203</v>
      </c>
    </row>
    <row r="42" spans="1:11" s="6" customFormat="1" x14ac:dyDescent="0.35">
      <c r="A42" s="6" t="s">
        <v>6</v>
      </c>
      <c r="B42">
        <v>15210</v>
      </c>
      <c r="C42">
        <v>15707</v>
      </c>
      <c r="D42">
        <v>15926</v>
      </c>
      <c r="E42">
        <v>15556</v>
      </c>
      <c r="F42">
        <v>15190</v>
      </c>
      <c r="G42">
        <v>15757</v>
      </c>
      <c r="H42">
        <v>15919</v>
      </c>
      <c r="I42">
        <v>16441</v>
      </c>
      <c r="J42">
        <v>16351</v>
      </c>
      <c r="K42">
        <v>17341</v>
      </c>
    </row>
    <row r="43" spans="1:11" s="6" customFormat="1" x14ac:dyDescent="0.35">
      <c r="A43" s="6" t="s">
        <v>7</v>
      </c>
      <c r="B43">
        <v>11675</v>
      </c>
      <c r="C43">
        <v>11965</v>
      </c>
      <c r="D43">
        <v>12139</v>
      </c>
      <c r="E43">
        <v>11867</v>
      </c>
      <c r="F43">
        <v>11572</v>
      </c>
      <c r="G43">
        <v>12118</v>
      </c>
      <c r="H43">
        <v>12137</v>
      </c>
      <c r="I43">
        <v>12660</v>
      </c>
      <c r="J43">
        <v>12514</v>
      </c>
      <c r="K43">
        <v>13394</v>
      </c>
    </row>
    <row r="44" spans="1:11" s="6" customFormat="1" x14ac:dyDescent="0.35">
      <c r="A44" s="6" t="s">
        <v>9</v>
      </c>
      <c r="B44">
        <v>309</v>
      </c>
      <c r="C44">
        <v>209</v>
      </c>
      <c r="D44">
        <v>203</v>
      </c>
      <c r="E44">
        <v>733</v>
      </c>
      <c r="F44">
        <v>149</v>
      </c>
      <c r="G44">
        <v>103</v>
      </c>
      <c r="H44">
        <v>269</v>
      </c>
      <c r="I44">
        <v>4048</v>
      </c>
      <c r="J44">
        <v>503</v>
      </c>
      <c r="K44">
        <v>113</v>
      </c>
    </row>
    <row r="45" spans="1:11" s="6" customFormat="1" x14ac:dyDescent="0.35">
      <c r="A45" s="6" t="s">
        <v>10</v>
      </c>
      <c r="B45">
        <v>320</v>
      </c>
      <c r="C45">
        <v>329</v>
      </c>
      <c r="D45">
        <v>338</v>
      </c>
      <c r="E45">
        <v>318</v>
      </c>
      <c r="F45">
        <v>318</v>
      </c>
      <c r="G45">
        <v>326</v>
      </c>
      <c r="H45">
        <v>322</v>
      </c>
      <c r="I45">
        <v>337</v>
      </c>
      <c r="J45">
        <v>348</v>
      </c>
      <c r="K45">
        <v>353</v>
      </c>
    </row>
    <row r="46" spans="1:11" s="6" customFormat="1" x14ac:dyDescent="0.35">
      <c r="A46" s="6" t="s">
        <v>11</v>
      </c>
      <c r="B46">
        <v>105</v>
      </c>
      <c r="C46">
        <v>93</v>
      </c>
      <c r="D46">
        <v>110</v>
      </c>
      <c r="E46">
        <v>109</v>
      </c>
      <c r="F46">
        <v>77</v>
      </c>
      <c r="G46">
        <v>122</v>
      </c>
      <c r="H46">
        <v>124</v>
      </c>
      <c r="I46">
        <v>88</v>
      </c>
      <c r="J46">
        <v>76</v>
      </c>
      <c r="K46">
        <v>75</v>
      </c>
    </row>
    <row r="47" spans="1:11" s="6" customFormat="1" x14ac:dyDescent="0.35">
      <c r="A47" s="6" t="s">
        <v>12</v>
      </c>
      <c r="B47">
        <v>3419</v>
      </c>
      <c r="C47">
        <v>3529</v>
      </c>
      <c r="D47">
        <v>3542</v>
      </c>
      <c r="E47">
        <v>3995</v>
      </c>
      <c r="F47">
        <v>3372</v>
      </c>
      <c r="G47">
        <v>3294</v>
      </c>
      <c r="H47">
        <v>3605</v>
      </c>
      <c r="I47">
        <v>7404</v>
      </c>
      <c r="J47">
        <v>3916</v>
      </c>
      <c r="K47">
        <v>3632</v>
      </c>
    </row>
    <row r="48" spans="1:11" s="6" customFormat="1" x14ac:dyDescent="0.35">
      <c r="A48" s="6" t="s">
        <v>13</v>
      </c>
      <c r="B48">
        <v>858</v>
      </c>
      <c r="C48">
        <v>917</v>
      </c>
      <c r="D48">
        <v>947</v>
      </c>
      <c r="E48">
        <v>1006</v>
      </c>
      <c r="F48">
        <v>897</v>
      </c>
      <c r="G48">
        <v>526</v>
      </c>
      <c r="H48">
        <v>911</v>
      </c>
      <c r="I48">
        <v>801</v>
      </c>
      <c r="J48">
        <v>922</v>
      </c>
      <c r="K48">
        <v>952</v>
      </c>
    </row>
    <row r="49" spans="1:11" s="6" customFormat="1" x14ac:dyDescent="0.35">
      <c r="A49" s="6" t="s">
        <v>14</v>
      </c>
      <c r="B49">
        <v>2558</v>
      </c>
      <c r="C49">
        <v>2610</v>
      </c>
      <c r="D49">
        <v>2591</v>
      </c>
      <c r="E49">
        <v>2984</v>
      </c>
      <c r="F49">
        <v>2464</v>
      </c>
      <c r="G49">
        <v>2756</v>
      </c>
      <c r="H49">
        <v>2685</v>
      </c>
      <c r="I49">
        <v>6607</v>
      </c>
      <c r="J49">
        <v>2992</v>
      </c>
      <c r="K49">
        <v>2673</v>
      </c>
    </row>
    <row r="50" spans="1:11" x14ac:dyDescent="0.35">
      <c r="A50" s="6" t="s">
        <v>8</v>
      </c>
      <c r="B50">
        <v>3535</v>
      </c>
      <c r="C50">
        <v>3742</v>
      </c>
      <c r="D50">
        <v>3787</v>
      </c>
      <c r="E50">
        <v>3689</v>
      </c>
      <c r="F50">
        <v>3618</v>
      </c>
      <c r="G50">
        <v>3639</v>
      </c>
      <c r="H50">
        <v>3782</v>
      </c>
      <c r="I50">
        <v>3781</v>
      </c>
      <c r="J50">
        <v>3837</v>
      </c>
      <c r="K50">
        <v>3947</v>
      </c>
    </row>
    <row r="51" spans="1:11" x14ac:dyDescent="0.35">
      <c r="A51" s="6"/>
    </row>
    <row r="52" spans="1:11" x14ac:dyDescent="0.35">
      <c r="A52" s="6"/>
    </row>
    <row r="53" spans="1:11" x14ac:dyDescent="0.35">
      <c r="A53" s="6"/>
    </row>
    <row r="54" spans="1:11" x14ac:dyDescent="0.35">
      <c r="A54" s="6"/>
    </row>
    <row r="55" spans="1:11" x14ac:dyDescent="0.35">
      <c r="A55" s="1" t="s">
        <v>40</v>
      </c>
    </row>
    <row r="56" spans="1:11" s="18" customFormat="1" x14ac:dyDescent="0.35">
      <c r="A56" s="17" t="s">
        <v>38</v>
      </c>
      <c r="B56" s="12">
        <v>42825</v>
      </c>
      <c r="C56" s="12">
        <v>43190</v>
      </c>
      <c r="D56" s="12">
        <v>43555</v>
      </c>
      <c r="E56" s="12">
        <v>43921</v>
      </c>
      <c r="F56" s="12">
        <v>44286</v>
      </c>
      <c r="G56" s="12">
        <v>44651</v>
      </c>
      <c r="H56" s="12">
        <v>45016</v>
      </c>
      <c r="I56" s="12">
        <v>45382</v>
      </c>
      <c r="J56" s="12">
        <v>45747</v>
      </c>
      <c r="K56" s="12">
        <v>46112</v>
      </c>
    </row>
    <row r="57" spans="1:11" x14ac:dyDescent="0.35">
      <c r="A57" s="6" t="s">
        <v>24</v>
      </c>
      <c r="B57">
        <v>216</v>
      </c>
      <c r="C57">
        <v>216</v>
      </c>
      <c r="D57">
        <v>216</v>
      </c>
      <c r="E57">
        <v>216</v>
      </c>
      <c r="F57">
        <v>235</v>
      </c>
      <c r="G57">
        <v>235</v>
      </c>
      <c r="H57">
        <v>235</v>
      </c>
      <c r="I57">
        <v>235</v>
      </c>
      <c r="J57">
        <v>235</v>
      </c>
      <c r="K57">
        <v>235</v>
      </c>
    </row>
    <row r="58" spans="1:11" x14ac:dyDescent="0.35">
      <c r="A58" s="6" t="s">
        <v>25</v>
      </c>
      <c r="B58">
        <v>6528</v>
      </c>
      <c r="C58">
        <v>7065</v>
      </c>
      <c r="D58">
        <v>7651</v>
      </c>
      <c r="E58">
        <v>8013</v>
      </c>
      <c r="F58">
        <v>47439</v>
      </c>
      <c r="G58">
        <v>48826</v>
      </c>
      <c r="H58">
        <v>50069</v>
      </c>
      <c r="I58">
        <v>50983</v>
      </c>
      <c r="J58">
        <v>49167</v>
      </c>
      <c r="K58">
        <v>48504</v>
      </c>
    </row>
    <row r="59" spans="1:11" x14ac:dyDescent="0.35">
      <c r="A59" s="6" t="s">
        <v>71</v>
      </c>
      <c r="B59">
        <v>277</v>
      </c>
      <c r="D59">
        <v>99</v>
      </c>
      <c r="G59">
        <v>1043</v>
      </c>
      <c r="H59">
        <v>1219</v>
      </c>
      <c r="I59">
        <v>1484</v>
      </c>
      <c r="J59">
        <v>1648</v>
      </c>
      <c r="K59">
        <v>1478</v>
      </c>
    </row>
    <row r="60" spans="1:11" x14ac:dyDescent="0.35">
      <c r="A60" s="6" t="s">
        <v>72</v>
      </c>
      <c r="B60">
        <v>8685</v>
      </c>
      <c r="C60">
        <v>10581</v>
      </c>
      <c r="D60">
        <v>10663</v>
      </c>
      <c r="E60">
        <v>11924</v>
      </c>
      <c r="F60">
        <v>21066</v>
      </c>
      <c r="G60">
        <v>20402</v>
      </c>
      <c r="H60">
        <v>21554</v>
      </c>
      <c r="I60">
        <v>25787</v>
      </c>
      <c r="J60">
        <v>28813</v>
      </c>
      <c r="K60">
        <v>29521</v>
      </c>
    </row>
    <row r="61" spans="1:11" s="1" customFormat="1" x14ac:dyDescent="0.35">
      <c r="A61" s="1" t="s">
        <v>26</v>
      </c>
      <c r="B61">
        <v>15706</v>
      </c>
      <c r="C61">
        <v>17862</v>
      </c>
      <c r="D61">
        <v>18629</v>
      </c>
      <c r="E61">
        <v>20153</v>
      </c>
      <c r="F61">
        <v>68740</v>
      </c>
      <c r="G61">
        <v>70506</v>
      </c>
      <c r="H61">
        <v>73077</v>
      </c>
      <c r="I61">
        <v>78489</v>
      </c>
      <c r="J61">
        <v>79863</v>
      </c>
      <c r="K61">
        <v>79738</v>
      </c>
    </row>
    <row r="62" spans="1:11" x14ac:dyDescent="0.35">
      <c r="A62" s="6" t="s">
        <v>27</v>
      </c>
      <c r="B62">
        <v>4419</v>
      </c>
      <c r="C62">
        <v>4528</v>
      </c>
      <c r="D62">
        <v>4715</v>
      </c>
      <c r="E62">
        <v>5479</v>
      </c>
      <c r="F62">
        <v>51443</v>
      </c>
      <c r="G62">
        <v>51473</v>
      </c>
      <c r="H62">
        <v>52678</v>
      </c>
      <c r="I62">
        <v>53744</v>
      </c>
      <c r="J62">
        <v>54335</v>
      </c>
      <c r="K62">
        <v>57428</v>
      </c>
    </row>
    <row r="63" spans="1:11" x14ac:dyDescent="0.35">
      <c r="A63" s="6" t="s">
        <v>28</v>
      </c>
      <c r="B63">
        <v>229</v>
      </c>
      <c r="C63">
        <v>461</v>
      </c>
      <c r="D63">
        <v>406</v>
      </c>
      <c r="E63">
        <v>597</v>
      </c>
      <c r="F63">
        <v>745</v>
      </c>
      <c r="G63">
        <v>1313</v>
      </c>
      <c r="H63">
        <v>1132</v>
      </c>
      <c r="I63">
        <v>1025</v>
      </c>
      <c r="J63">
        <v>1009</v>
      </c>
      <c r="K63">
        <v>880</v>
      </c>
    </row>
    <row r="64" spans="1:11" x14ac:dyDescent="0.35">
      <c r="A64" s="6" t="s">
        <v>29</v>
      </c>
      <c r="B64">
        <v>3794</v>
      </c>
      <c r="C64">
        <v>2873</v>
      </c>
      <c r="D64">
        <v>2716</v>
      </c>
      <c r="E64">
        <v>1255</v>
      </c>
      <c r="F64">
        <v>2709</v>
      </c>
      <c r="G64">
        <v>3521</v>
      </c>
      <c r="H64">
        <v>2882</v>
      </c>
      <c r="I64">
        <v>4625</v>
      </c>
      <c r="J64">
        <v>3810</v>
      </c>
      <c r="K64">
        <v>4359</v>
      </c>
    </row>
    <row r="65" spans="1:11" x14ac:dyDescent="0.35">
      <c r="A65" s="6" t="s">
        <v>73</v>
      </c>
      <c r="B65">
        <v>7264</v>
      </c>
      <c r="C65">
        <v>10000</v>
      </c>
      <c r="D65">
        <v>10792</v>
      </c>
      <c r="E65">
        <v>12822</v>
      </c>
      <c r="F65">
        <v>13843</v>
      </c>
      <c r="G65">
        <v>14199</v>
      </c>
      <c r="H65">
        <v>16385</v>
      </c>
      <c r="I65">
        <v>19095</v>
      </c>
      <c r="J65">
        <v>20709</v>
      </c>
      <c r="K65">
        <v>17071</v>
      </c>
    </row>
    <row r="66" spans="1:11" s="1" customFormat="1" x14ac:dyDescent="0.35">
      <c r="A66" s="1" t="s">
        <v>26</v>
      </c>
      <c r="B66">
        <v>15706</v>
      </c>
      <c r="C66">
        <v>17862</v>
      </c>
      <c r="D66">
        <v>18629</v>
      </c>
      <c r="E66">
        <v>20153</v>
      </c>
      <c r="F66">
        <v>68740</v>
      </c>
      <c r="G66">
        <v>70506</v>
      </c>
      <c r="H66">
        <v>73077</v>
      </c>
      <c r="I66">
        <v>78489</v>
      </c>
      <c r="J66">
        <v>79863</v>
      </c>
      <c r="K66">
        <v>79738</v>
      </c>
    </row>
    <row r="67" spans="1:11" s="6" customFormat="1" x14ac:dyDescent="0.35">
      <c r="A67" s="6" t="s">
        <v>78</v>
      </c>
      <c r="B67">
        <v>1085</v>
      </c>
      <c r="C67">
        <v>1310</v>
      </c>
      <c r="D67">
        <v>1816</v>
      </c>
      <c r="E67">
        <v>1149</v>
      </c>
      <c r="F67">
        <v>1758</v>
      </c>
      <c r="G67">
        <v>2236</v>
      </c>
      <c r="H67">
        <v>3079</v>
      </c>
      <c r="I67">
        <v>2997</v>
      </c>
      <c r="J67">
        <v>3819</v>
      </c>
      <c r="K67">
        <v>3379</v>
      </c>
    </row>
    <row r="68" spans="1:11" x14ac:dyDescent="0.35">
      <c r="A68" s="6" t="s">
        <v>45</v>
      </c>
      <c r="B68">
        <v>2541</v>
      </c>
      <c r="C68">
        <v>2513</v>
      </c>
      <c r="D68">
        <v>2574</v>
      </c>
      <c r="E68">
        <v>2767</v>
      </c>
      <c r="F68">
        <v>3579</v>
      </c>
      <c r="G68">
        <v>4096</v>
      </c>
      <c r="H68">
        <v>4251</v>
      </c>
      <c r="I68">
        <v>4022</v>
      </c>
      <c r="J68">
        <v>4415</v>
      </c>
      <c r="K68">
        <v>4789</v>
      </c>
    </row>
    <row r="69" spans="1:11" x14ac:dyDescent="0.35">
      <c r="A69" s="4" t="s">
        <v>87</v>
      </c>
      <c r="B69">
        <v>1828</v>
      </c>
      <c r="C69">
        <v>3485</v>
      </c>
      <c r="D69">
        <v>3757</v>
      </c>
      <c r="E69">
        <v>5113</v>
      </c>
      <c r="F69">
        <v>4471</v>
      </c>
      <c r="G69">
        <v>3846</v>
      </c>
      <c r="H69">
        <v>4678</v>
      </c>
      <c r="I69">
        <v>7559</v>
      </c>
      <c r="J69">
        <v>7554</v>
      </c>
      <c r="K69">
        <v>3248</v>
      </c>
    </row>
    <row r="70" spans="1:11" x14ac:dyDescent="0.35">
      <c r="A70" s="4" t="s">
        <v>74</v>
      </c>
      <c r="B70">
        <v>2164349639</v>
      </c>
      <c r="C70">
        <v>2164528777</v>
      </c>
      <c r="D70">
        <v>2164704405</v>
      </c>
      <c r="E70">
        <v>2164704405</v>
      </c>
      <c r="F70">
        <v>2349567819</v>
      </c>
      <c r="G70">
        <v>2349591262</v>
      </c>
      <c r="H70">
        <v>2349591262</v>
      </c>
      <c r="I70">
        <v>2349591262</v>
      </c>
      <c r="J70">
        <v>2349591262</v>
      </c>
      <c r="K70">
        <v>2349591262</v>
      </c>
    </row>
    <row r="71" spans="1:11" x14ac:dyDescent="0.35">
      <c r="A71" s="4" t="s">
        <v>75</v>
      </c>
    </row>
    <row r="72" spans="1:11" x14ac:dyDescent="0.35">
      <c r="A72" s="4" t="s">
        <v>88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35">
      <c r="A74" s="6"/>
    </row>
    <row r="75" spans="1:11" x14ac:dyDescent="0.35">
      <c r="A75" s="6"/>
    </row>
    <row r="76" spans="1:11" x14ac:dyDescent="0.35">
      <c r="A76" s="6"/>
    </row>
    <row r="77" spans="1:11" x14ac:dyDescent="0.35">
      <c r="A77" s="6"/>
    </row>
    <row r="78" spans="1:11" x14ac:dyDescent="0.35">
      <c r="A78" s="6"/>
    </row>
    <row r="79" spans="1:11" x14ac:dyDescent="0.35">
      <c r="A79" s="6"/>
    </row>
    <row r="80" spans="1:11" x14ac:dyDescent="0.35">
      <c r="A80" s="1" t="s">
        <v>41</v>
      </c>
    </row>
    <row r="81" spans="1:11" s="18" customFormat="1" x14ac:dyDescent="0.35">
      <c r="A81" s="17" t="s">
        <v>38</v>
      </c>
      <c r="B81" s="12">
        <v>42825</v>
      </c>
      <c r="C81" s="12">
        <v>43190</v>
      </c>
      <c r="D81" s="12">
        <v>43555</v>
      </c>
      <c r="E81" s="12">
        <v>43921</v>
      </c>
      <c r="F81" s="12">
        <v>44286</v>
      </c>
      <c r="G81" s="12">
        <v>44651</v>
      </c>
      <c r="H81" s="12">
        <v>45016</v>
      </c>
      <c r="I81" s="12">
        <v>45382</v>
      </c>
      <c r="J81" s="12">
        <v>45747</v>
      </c>
      <c r="K81" s="12">
        <v>46112</v>
      </c>
    </row>
    <row r="82" spans="1:11" s="1" customFormat="1" x14ac:dyDescent="0.35">
      <c r="A82" s="6" t="s">
        <v>32</v>
      </c>
      <c r="B82">
        <v>5185</v>
      </c>
      <c r="C82">
        <v>6059</v>
      </c>
      <c r="D82">
        <v>5800</v>
      </c>
      <c r="E82">
        <v>7623</v>
      </c>
      <c r="F82">
        <v>9163</v>
      </c>
      <c r="G82">
        <v>9048</v>
      </c>
      <c r="H82">
        <v>9991</v>
      </c>
      <c r="I82">
        <v>15469</v>
      </c>
      <c r="J82">
        <v>11886</v>
      </c>
      <c r="K82">
        <v>10999</v>
      </c>
    </row>
    <row r="83" spans="1:11" s="6" customFormat="1" x14ac:dyDescent="0.35">
      <c r="A83" s="6" t="s">
        <v>33</v>
      </c>
      <c r="B83">
        <v>-1173</v>
      </c>
      <c r="C83">
        <v>-1063</v>
      </c>
      <c r="D83">
        <v>-438</v>
      </c>
      <c r="E83">
        <v>1791</v>
      </c>
      <c r="F83">
        <v>-1228</v>
      </c>
      <c r="G83">
        <v>-1728</v>
      </c>
      <c r="H83">
        <v>-1484</v>
      </c>
      <c r="I83">
        <v>-5324</v>
      </c>
      <c r="J83">
        <v>6473</v>
      </c>
      <c r="K83">
        <v>-3676</v>
      </c>
    </row>
    <row r="84" spans="1:11" s="6" customFormat="1" x14ac:dyDescent="0.35">
      <c r="A84" s="6" t="s">
        <v>34</v>
      </c>
      <c r="B84">
        <v>-4214</v>
      </c>
      <c r="C84">
        <v>-4975</v>
      </c>
      <c r="D84">
        <v>-5390</v>
      </c>
      <c r="E84">
        <v>-6819</v>
      </c>
      <c r="F84">
        <v>-9309</v>
      </c>
      <c r="G84">
        <v>-8015</v>
      </c>
      <c r="H84">
        <v>-8953</v>
      </c>
      <c r="I84">
        <v>-10034</v>
      </c>
      <c r="J84">
        <v>-13101</v>
      </c>
      <c r="K84">
        <v>-10810</v>
      </c>
    </row>
    <row r="85" spans="1:11" s="1" customFormat="1" x14ac:dyDescent="0.35">
      <c r="A85" s="6" t="s">
        <v>35</v>
      </c>
      <c r="B85">
        <v>-202</v>
      </c>
      <c r="C85">
        <v>21</v>
      </c>
      <c r="D85">
        <v>-28</v>
      </c>
      <c r="E85">
        <v>2595</v>
      </c>
      <c r="F85">
        <v>-1374</v>
      </c>
      <c r="G85">
        <v>-695</v>
      </c>
      <c r="H85">
        <v>-446</v>
      </c>
      <c r="I85">
        <v>111</v>
      </c>
      <c r="J85">
        <v>5258</v>
      </c>
      <c r="K85">
        <v>-3487</v>
      </c>
    </row>
    <row r="86" spans="1:11" x14ac:dyDescent="0.35">
      <c r="A86" s="6"/>
    </row>
    <row r="87" spans="1:11" x14ac:dyDescent="0.35">
      <c r="A87" s="6"/>
    </row>
    <row r="88" spans="1:11" x14ac:dyDescent="0.35">
      <c r="A88" s="6"/>
    </row>
    <row r="89" spans="1:11" x14ac:dyDescent="0.35">
      <c r="A89" s="6"/>
    </row>
    <row r="90" spans="1:11" s="1" customFormat="1" x14ac:dyDescent="0.35">
      <c r="A90" s="1" t="s">
        <v>77</v>
      </c>
      <c r="B90">
        <v>872.61</v>
      </c>
      <c r="C90">
        <v>1276.1099999999999</v>
      </c>
      <c r="D90">
        <v>1633.53</v>
      </c>
      <c r="E90">
        <v>2199.83</v>
      </c>
      <c r="F90">
        <v>2327.12</v>
      </c>
      <c r="G90">
        <v>1960.7</v>
      </c>
      <c r="H90">
        <v>2450.44</v>
      </c>
      <c r="I90">
        <v>2167.14</v>
      </c>
      <c r="J90">
        <v>2161.88</v>
      </c>
      <c r="K90">
        <v>2055.1999999999998</v>
      </c>
    </row>
    <row r="92" spans="1:11" s="1" customFormat="1" x14ac:dyDescent="0.35">
      <c r="A92" s="1" t="s">
        <v>76</v>
      </c>
    </row>
    <row r="93" spans="1:11" x14ac:dyDescent="0.35">
      <c r="A93" s="4" t="s">
        <v>89</v>
      </c>
      <c r="B93" s="24">
        <v>216.43</v>
      </c>
      <c r="C93" s="24">
        <v>216.45</v>
      </c>
      <c r="D93" s="24">
        <v>216.47</v>
      </c>
      <c r="E93" s="24">
        <v>216.48</v>
      </c>
      <c r="F93" s="24">
        <v>234.96</v>
      </c>
      <c r="G93" s="24">
        <v>234.96</v>
      </c>
      <c r="H93" s="24">
        <v>234.96</v>
      </c>
      <c r="I93" s="24">
        <v>234.96</v>
      </c>
      <c r="J93" s="24">
        <v>234.96</v>
      </c>
      <c r="K93" s="24">
        <v>234.96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BEC22-D760-430B-85EF-75BEB4C48B8A}">
  <dimension ref="B1:L33"/>
  <sheetViews>
    <sheetView showGridLines="0" workbookViewId="0">
      <selection activeCell="B1" sqref="B1:H1"/>
    </sheetView>
  </sheetViews>
  <sheetFormatPr defaultRowHeight="14.5" x14ac:dyDescent="0.35"/>
  <cols>
    <col min="1" max="1" width="1.81640625" customWidth="1"/>
    <col min="2" max="2" width="19" bestFit="1" customWidth="1"/>
    <col min="3" max="8" width="9.26953125" bestFit="1" customWidth="1"/>
  </cols>
  <sheetData>
    <row r="1" spans="2:12" x14ac:dyDescent="0.35">
      <c r="B1" s="74" t="str">
        <f>"Histarical Actuals-"&amp;'Data Sheet'!B1</f>
        <v>Histarical Actuals-HINDUSTAN UNILEVER LTD</v>
      </c>
      <c r="C1" s="74"/>
      <c r="D1" s="74"/>
      <c r="E1" s="74"/>
      <c r="F1" s="74"/>
      <c r="G1" s="74"/>
      <c r="H1" s="74"/>
      <c r="I1" s="26"/>
      <c r="J1" s="26"/>
      <c r="K1" s="26"/>
      <c r="L1" s="26"/>
    </row>
    <row r="2" spans="2:12" x14ac:dyDescent="0.35">
      <c r="B2" s="27"/>
      <c r="C2" s="27"/>
      <c r="D2" s="27"/>
      <c r="E2" s="27"/>
      <c r="F2" s="27"/>
      <c r="G2" s="27"/>
      <c r="H2" s="27"/>
      <c r="I2" s="26"/>
      <c r="J2" s="26"/>
      <c r="K2" s="26"/>
      <c r="L2" s="26"/>
    </row>
    <row r="3" spans="2:12" x14ac:dyDescent="0.35">
      <c r="B3" s="28" t="s">
        <v>93</v>
      </c>
      <c r="C3" s="29">
        <f>'Data Sheet'!B41</f>
        <v>45382</v>
      </c>
      <c r="D3" s="29">
        <f>'Data Sheet'!C41</f>
        <v>45473</v>
      </c>
      <c r="E3" s="29">
        <f>'Data Sheet'!D41</f>
        <v>45565</v>
      </c>
      <c r="F3" s="29">
        <f>'Data Sheet'!E41</f>
        <v>45657</v>
      </c>
      <c r="G3" s="29">
        <f>'Data Sheet'!F41</f>
        <v>45747</v>
      </c>
      <c r="H3" s="29">
        <f>'Data Sheet'!G41</f>
        <v>45838</v>
      </c>
      <c r="I3" s="25"/>
    </row>
    <row r="4" spans="2:12" x14ac:dyDescent="0.35">
      <c r="B4" s="2" t="s">
        <v>107</v>
      </c>
      <c r="C4" s="30">
        <f>'Data Sheet'!B42</f>
        <v>15210</v>
      </c>
      <c r="D4" s="30">
        <f>'Data Sheet'!C42</f>
        <v>15707</v>
      </c>
      <c r="E4" s="30">
        <f>'Data Sheet'!D42</f>
        <v>15926</v>
      </c>
      <c r="F4" s="30">
        <f>'Data Sheet'!E42</f>
        <v>15556</v>
      </c>
      <c r="G4" s="30">
        <f>'Data Sheet'!F42</f>
        <v>15190</v>
      </c>
      <c r="H4" s="30">
        <f>'Data Sheet'!G42</f>
        <v>15757</v>
      </c>
    </row>
    <row r="5" spans="2:12" x14ac:dyDescent="0.35">
      <c r="B5" s="2" t="s">
        <v>108</v>
      </c>
      <c r="C5" s="33" t="s">
        <v>96</v>
      </c>
      <c r="D5" s="32">
        <f>D4/C4-1</f>
        <v>3.2675871137409551E-2</v>
      </c>
      <c r="E5" s="32">
        <f t="shared" ref="E5:H5" si="0">E4/D4-1</f>
        <v>1.3942828038454147E-2</v>
      </c>
      <c r="F5" s="32">
        <f>F4/E4-1</f>
        <v>-2.3232450081627554E-2</v>
      </c>
      <c r="G5" s="32">
        <f t="shared" si="0"/>
        <v>-2.3527899202879898E-2</v>
      </c>
      <c r="H5" s="32">
        <f t="shared" si="0"/>
        <v>3.7327188940092126E-2</v>
      </c>
    </row>
    <row r="6" spans="2:12" x14ac:dyDescent="0.35">
      <c r="B6" s="2"/>
      <c r="C6" s="33"/>
      <c r="D6" s="32"/>
      <c r="E6" s="32"/>
      <c r="F6" s="32"/>
      <c r="G6" s="32"/>
      <c r="H6" s="32"/>
    </row>
    <row r="7" spans="2:12" x14ac:dyDescent="0.35">
      <c r="B7" s="34" t="s">
        <v>7</v>
      </c>
      <c r="C7" s="35">
        <f>'Data Sheet'!B43</f>
        <v>11675</v>
      </c>
      <c r="D7" s="35">
        <f>'Data Sheet'!C43</f>
        <v>11965</v>
      </c>
      <c r="E7" s="35">
        <f>'Data Sheet'!D43</f>
        <v>12139</v>
      </c>
      <c r="F7" s="35">
        <f>'Data Sheet'!E43</f>
        <v>11867</v>
      </c>
      <c r="G7" s="35">
        <f>'Data Sheet'!F43</f>
        <v>11572</v>
      </c>
      <c r="H7" s="35">
        <f>'Data Sheet'!G43</f>
        <v>12118</v>
      </c>
    </row>
    <row r="8" spans="2:12" x14ac:dyDescent="0.35">
      <c r="B8" t="s">
        <v>97</v>
      </c>
      <c r="C8" s="32">
        <f>C7/C4</f>
        <v>0.76758711374095989</v>
      </c>
      <c r="D8" s="32">
        <f t="shared" ref="D8:H8" si="1">D7/D4</f>
        <v>0.76176227159865029</v>
      </c>
      <c r="E8" s="32">
        <f t="shared" si="1"/>
        <v>0.76221273389426092</v>
      </c>
      <c r="F8" s="32">
        <f t="shared" si="1"/>
        <v>0.76285677552069941</v>
      </c>
      <c r="G8" s="32">
        <f t="shared" si="1"/>
        <v>0.7618169848584595</v>
      </c>
      <c r="H8" s="32">
        <f t="shared" si="1"/>
        <v>0.76905502316430796</v>
      </c>
    </row>
    <row r="9" spans="2:12" x14ac:dyDescent="0.35">
      <c r="C9" s="32"/>
      <c r="D9" s="32"/>
      <c r="E9" s="32"/>
      <c r="F9" s="32"/>
      <c r="G9" s="32"/>
      <c r="H9" s="32"/>
    </row>
    <row r="10" spans="2:12" x14ac:dyDescent="0.35">
      <c r="B10" s="36" t="s">
        <v>8</v>
      </c>
      <c r="C10" s="35">
        <f>C4-C7</f>
        <v>3535</v>
      </c>
      <c r="D10" s="35">
        <f t="shared" ref="D10:H10" si="2">D4-D7</f>
        <v>3742</v>
      </c>
      <c r="E10" s="35">
        <f t="shared" si="2"/>
        <v>3787</v>
      </c>
      <c r="F10" s="35">
        <f t="shared" si="2"/>
        <v>3689</v>
      </c>
      <c r="G10" s="35">
        <f t="shared" si="2"/>
        <v>3618</v>
      </c>
      <c r="H10" s="35">
        <f t="shared" si="2"/>
        <v>3639</v>
      </c>
      <c r="J10" s="31"/>
    </row>
    <row r="11" spans="2:12" x14ac:dyDescent="0.35">
      <c r="B11" s="2" t="s">
        <v>109</v>
      </c>
      <c r="C11" s="32">
        <f>C10/C4</f>
        <v>0.23241288625904011</v>
      </c>
      <c r="D11" s="32">
        <f t="shared" ref="D11:H11" si="3">D10/D4</f>
        <v>0.23823772840134971</v>
      </c>
      <c r="E11" s="32">
        <f t="shared" si="3"/>
        <v>0.23778726610573905</v>
      </c>
      <c r="F11" s="32">
        <f t="shared" si="3"/>
        <v>0.23714322447930059</v>
      </c>
      <c r="G11" s="32">
        <f t="shared" si="3"/>
        <v>0.2381830151415405</v>
      </c>
      <c r="H11" s="32">
        <f t="shared" si="3"/>
        <v>0.23094497683569207</v>
      </c>
      <c r="J11" s="31"/>
    </row>
    <row r="12" spans="2:12" x14ac:dyDescent="0.35">
      <c r="B12" s="2"/>
      <c r="C12" s="32"/>
      <c r="D12" s="32"/>
      <c r="E12" s="32"/>
      <c r="F12" s="32"/>
      <c r="G12" s="32"/>
      <c r="H12" s="32"/>
      <c r="J12" s="31"/>
    </row>
    <row r="13" spans="2:12" x14ac:dyDescent="0.35">
      <c r="B13" t="s">
        <v>10</v>
      </c>
      <c r="C13" s="30">
        <f>'Data Sheet'!B45</f>
        <v>320</v>
      </c>
      <c r="D13" s="30">
        <f>'Data Sheet'!C45</f>
        <v>329</v>
      </c>
      <c r="E13" s="30">
        <f>'Data Sheet'!D45</f>
        <v>338</v>
      </c>
      <c r="F13" s="30">
        <f>'Data Sheet'!E45</f>
        <v>318</v>
      </c>
      <c r="G13" s="30">
        <f>'Data Sheet'!F45</f>
        <v>318</v>
      </c>
      <c r="H13" s="30">
        <f>'Data Sheet'!G45</f>
        <v>326</v>
      </c>
    </row>
    <row r="14" spans="2:12" x14ac:dyDescent="0.35">
      <c r="B14" t="s">
        <v>98</v>
      </c>
      <c r="C14" s="32">
        <f>C13/C4</f>
        <v>2.1038790269559501E-2</v>
      </c>
      <c r="D14" s="32">
        <f t="shared" ref="D14:H14" si="4">D13/D4</f>
        <v>2.0946074998408355E-2</v>
      </c>
      <c r="E14" s="32">
        <f t="shared" si="4"/>
        <v>2.1223157101594878E-2</v>
      </c>
      <c r="F14" s="32">
        <f t="shared" si="4"/>
        <v>2.0442273077912059E-2</v>
      </c>
      <c r="G14" s="32">
        <f t="shared" si="4"/>
        <v>2.0934825543120473E-2</v>
      </c>
      <c r="H14" s="32">
        <f t="shared" si="4"/>
        <v>2.0689217490639081E-2</v>
      </c>
    </row>
    <row r="15" spans="2:12" x14ac:dyDescent="0.35">
      <c r="C15" s="32"/>
      <c r="D15" s="32"/>
      <c r="E15" s="32"/>
      <c r="F15" s="32"/>
      <c r="G15" s="32"/>
      <c r="H15" s="32"/>
    </row>
    <row r="16" spans="2:12" x14ac:dyDescent="0.35">
      <c r="B16" s="36" t="s">
        <v>94</v>
      </c>
      <c r="C16" s="35">
        <f>C10-C13</f>
        <v>3215</v>
      </c>
      <c r="D16" s="35">
        <f t="shared" ref="D16:H16" si="5">D10-D13</f>
        <v>3413</v>
      </c>
      <c r="E16" s="35">
        <f t="shared" si="5"/>
        <v>3449</v>
      </c>
      <c r="F16" s="35">
        <f t="shared" si="5"/>
        <v>3371</v>
      </c>
      <c r="G16" s="35">
        <f t="shared" si="5"/>
        <v>3300</v>
      </c>
      <c r="H16" s="35">
        <f t="shared" si="5"/>
        <v>3313</v>
      </c>
    </row>
    <row r="17" spans="2:8" x14ac:dyDescent="0.35">
      <c r="B17" s="2" t="s">
        <v>99</v>
      </c>
      <c r="C17" s="32">
        <f>C16/C4</f>
        <v>0.21137409598948059</v>
      </c>
      <c r="D17" s="32">
        <f t="shared" ref="D17:H17" si="6">D16/D4</f>
        <v>0.21729165340294138</v>
      </c>
      <c r="E17" s="32">
        <f t="shared" si="6"/>
        <v>0.21656410900414416</v>
      </c>
      <c r="F17" s="32">
        <f t="shared" si="6"/>
        <v>0.21670095140138854</v>
      </c>
      <c r="G17" s="32">
        <f t="shared" si="6"/>
        <v>0.21724818959842002</v>
      </c>
      <c r="H17" s="32">
        <f t="shared" si="6"/>
        <v>0.210255759345053</v>
      </c>
    </row>
    <row r="18" spans="2:8" x14ac:dyDescent="0.35">
      <c r="B18" s="2"/>
      <c r="C18" s="32"/>
      <c r="D18" s="32"/>
      <c r="E18" s="32"/>
      <c r="F18" s="32"/>
      <c r="G18" s="32"/>
      <c r="H18" s="32"/>
    </row>
    <row r="19" spans="2:8" x14ac:dyDescent="0.35">
      <c r="B19" t="s">
        <v>9</v>
      </c>
      <c r="C19" s="30">
        <f>'Data Sheet'!B44</f>
        <v>309</v>
      </c>
      <c r="D19" s="30">
        <f>'Data Sheet'!C44</f>
        <v>209</v>
      </c>
      <c r="E19" s="30">
        <f>'Data Sheet'!D44</f>
        <v>203</v>
      </c>
      <c r="F19" s="30">
        <f>'Data Sheet'!E44</f>
        <v>733</v>
      </c>
      <c r="G19" s="30">
        <f>'Data Sheet'!F44</f>
        <v>149</v>
      </c>
      <c r="H19" s="30">
        <f>'Data Sheet'!G44</f>
        <v>103</v>
      </c>
    </row>
    <row r="20" spans="2:8" x14ac:dyDescent="0.35">
      <c r="B20" t="s">
        <v>100</v>
      </c>
      <c r="C20" s="32">
        <f>C19/C4</f>
        <v>2.0315581854043391E-2</v>
      </c>
      <c r="D20" s="32">
        <f t="shared" ref="D20:H20" si="7">D19/D4</f>
        <v>1.3306169223912905E-2</v>
      </c>
      <c r="E20" s="32">
        <f t="shared" si="7"/>
        <v>1.274645234208213E-2</v>
      </c>
      <c r="F20" s="32">
        <f t="shared" si="7"/>
        <v>4.7120082283363333E-2</v>
      </c>
      <c r="G20" s="32">
        <f t="shared" si="7"/>
        <v>9.8090849242922981E-3</v>
      </c>
      <c r="H20" s="32">
        <f t="shared" si="7"/>
        <v>6.5367773053246177E-3</v>
      </c>
    </row>
    <row r="21" spans="2:8" x14ac:dyDescent="0.35">
      <c r="C21" s="32"/>
      <c r="D21" s="32"/>
      <c r="E21" s="32"/>
      <c r="F21" s="32"/>
      <c r="G21" s="32"/>
      <c r="H21" s="32"/>
    </row>
    <row r="22" spans="2:8" x14ac:dyDescent="0.35">
      <c r="B22" t="s">
        <v>11</v>
      </c>
      <c r="C22" s="30">
        <f>'Data Sheet'!B46</f>
        <v>105</v>
      </c>
      <c r="D22" s="30">
        <f>'Data Sheet'!C46</f>
        <v>93</v>
      </c>
      <c r="E22" s="30">
        <f>'Data Sheet'!D46</f>
        <v>110</v>
      </c>
      <c r="F22" s="30">
        <f>'Data Sheet'!E46</f>
        <v>109</v>
      </c>
      <c r="G22" s="30">
        <f>'Data Sheet'!F46</f>
        <v>77</v>
      </c>
      <c r="H22" s="30">
        <f>'Data Sheet'!G46</f>
        <v>122</v>
      </c>
    </row>
    <row r="23" spans="2:8" x14ac:dyDescent="0.35">
      <c r="B23" t="s">
        <v>101</v>
      </c>
      <c r="C23" s="32">
        <f>C22/C4</f>
        <v>6.9033530571992107E-3</v>
      </c>
      <c r="D23" s="32">
        <f t="shared" ref="D23:H23" si="8">D22/D4</f>
        <v>5.9209269752339725E-3</v>
      </c>
      <c r="E23" s="32">
        <f t="shared" si="8"/>
        <v>6.9069446188622374E-3</v>
      </c>
      <c r="F23" s="32">
        <f t="shared" si="8"/>
        <v>7.0069426587811776E-3</v>
      </c>
      <c r="G23" s="32">
        <f t="shared" si="8"/>
        <v>5.0691244239631341E-3</v>
      </c>
      <c r="H23" s="32">
        <f t="shared" si="8"/>
        <v>7.742590594656343E-3</v>
      </c>
    </row>
    <row r="24" spans="2:8" x14ac:dyDescent="0.35">
      <c r="C24" s="32"/>
      <c r="D24" s="32"/>
      <c r="E24" s="32"/>
      <c r="F24" s="32"/>
      <c r="G24" s="32"/>
      <c r="H24" s="32"/>
    </row>
    <row r="25" spans="2:8" x14ac:dyDescent="0.35">
      <c r="B25" s="36" t="s">
        <v>95</v>
      </c>
      <c r="C25" s="35">
        <f>(C16+C19)-C22</f>
        <v>3419</v>
      </c>
      <c r="D25" s="35">
        <f t="shared" ref="D25:H25" si="9">(D16+D19)-D22</f>
        <v>3529</v>
      </c>
      <c r="E25" s="35">
        <f t="shared" si="9"/>
        <v>3542</v>
      </c>
      <c r="F25" s="35">
        <f t="shared" si="9"/>
        <v>3995</v>
      </c>
      <c r="G25" s="35">
        <f t="shared" si="9"/>
        <v>3372</v>
      </c>
      <c r="H25" s="35">
        <f t="shared" si="9"/>
        <v>3294</v>
      </c>
    </row>
    <row r="26" spans="2:8" x14ac:dyDescent="0.35">
      <c r="B26" s="2" t="s">
        <v>102</v>
      </c>
      <c r="C26" s="32">
        <f>C25/C4</f>
        <v>0.22478632478632479</v>
      </c>
      <c r="D26" s="32">
        <f t="shared" ref="D26:H26" si="10">D25/D4</f>
        <v>0.2246768956516203</v>
      </c>
      <c r="E26" s="32">
        <f t="shared" si="10"/>
        <v>0.22240361672736406</v>
      </c>
      <c r="F26" s="32">
        <f t="shared" si="10"/>
        <v>0.25681409102597069</v>
      </c>
      <c r="G26" s="32">
        <f t="shared" si="10"/>
        <v>0.22198815009874917</v>
      </c>
      <c r="H26" s="32">
        <f t="shared" si="10"/>
        <v>0.20904994605572128</v>
      </c>
    </row>
    <row r="27" spans="2:8" x14ac:dyDescent="0.35">
      <c r="B27" s="2"/>
      <c r="C27" s="32"/>
      <c r="D27" s="32"/>
      <c r="E27" s="32"/>
      <c r="F27" s="32"/>
      <c r="G27" s="32"/>
      <c r="H27" s="32"/>
    </row>
    <row r="28" spans="2:8" x14ac:dyDescent="0.35">
      <c r="B28" t="s">
        <v>13</v>
      </c>
      <c r="C28" s="30">
        <f>'Data Sheet'!B48</f>
        <v>858</v>
      </c>
      <c r="D28" s="30">
        <f>'Data Sheet'!C48</f>
        <v>917</v>
      </c>
      <c r="E28" s="30">
        <f>'Data Sheet'!D48</f>
        <v>947</v>
      </c>
      <c r="F28" s="30">
        <f>'Data Sheet'!E48</f>
        <v>1006</v>
      </c>
      <c r="G28" s="30">
        <f>'Data Sheet'!F48</f>
        <v>897</v>
      </c>
      <c r="H28" s="30">
        <f>'Data Sheet'!G48</f>
        <v>526</v>
      </c>
    </row>
    <row r="29" spans="2:8" x14ac:dyDescent="0.35">
      <c r="B29" t="s">
        <v>103</v>
      </c>
      <c r="C29" s="32">
        <f>C28/C4</f>
        <v>5.6410256410256411E-2</v>
      </c>
      <c r="D29" s="32">
        <f t="shared" ref="D29:H29" si="11">D28/D4</f>
        <v>5.8381613293436045E-2</v>
      </c>
      <c r="E29" s="32">
        <f t="shared" si="11"/>
        <v>5.9462514127841266E-2</v>
      </c>
      <c r="F29" s="32">
        <f t="shared" si="11"/>
        <v>6.4669580869118032E-2</v>
      </c>
      <c r="G29" s="32">
        <f t="shared" si="11"/>
        <v>5.9052007899934165E-2</v>
      </c>
      <c r="H29" s="32">
        <f t="shared" si="11"/>
        <v>3.3381988957288826E-2</v>
      </c>
    </row>
    <row r="30" spans="2:8" x14ac:dyDescent="0.35">
      <c r="C30" s="32"/>
      <c r="D30" s="32"/>
      <c r="E30" s="32"/>
      <c r="F30" s="32"/>
      <c r="G30" s="32"/>
      <c r="H30" s="32"/>
    </row>
    <row r="31" spans="2:8" ht="15" thickBot="1" x14ac:dyDescent="0.4">
      <c r="B31" s="37" t="s">
        <v>14</v>
      </c>
      <c r="C31" s="42">
        <f>'Data Sheet'!B49</f>
        <v>2558</v>
      </c>
      <c r="D31" s="42">
        <f>'Data Sheet'!C49</f>
        <v>2610</v>
      </c>
      <c r="E31" s="42">
        <f>'Data Sheet'!D49</f>
        <v>2591</v>
      </c>
      <c r="F31" s="42">
        <f>'Data Sheet'!E49</f>
        <v>2984</v>
      </c>
      <c r="G31" s="42">
        <f>'Data Sheet'!F49</f>
        <v>2464</v>
      </c>
      <c r="H31" s="42">
        <f>'Data Sheet'!G49</f>
        <v>2756</v>
      </c>
    </row>
    <row r="32" spans="2:8" ht="15" thickTop="1" x14ac:dyDescent="0.35">
      <c r="B32" s="2" t="s">
        <v>104</v>
      </c>
      <c r="C32" s="32">
        <f>C31/C4</f>
        <v>0.16817882971729126</v>
      </c>
      <c r="D32" s="32">
        <f t="shared" ref="D32:H32" si="12">D31/D4</f>
        <v>0.166167950595276</v>
      </c>
      <c r="E32" s="32">
        <f t="shared" si="12"/>
        <v>0.16268994097701872</v>
      </c>
      <c r="F32" s="32">
        <f t="shared" si="12"/>
        <v>0.19182309076883516</v>
      </c>
      <c r="G32" s="32">
        <f t="shared" si="12"/>
        <v>0.16221198156682029</v>
      </c>
      <c r="H32" s="32">
        <f t="shared" si="12"/>
        <v>0.17490639081043347</v>
      </c>
    </row>
    <row r="33" spans="3:3" x14ac:dyDescent="0.35">
      <c r="C33" s="31"/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5C9BF-8018-4C84-8489-C9144AAEED78}">
  <dimension ref="B1:I13"/>
  <sheetViews>
    <sheetView showGridLines="0" workbookViewId="0">
      <selection activeCell="B1" sqref="B1:I1"/>
    </sheetView>
  </sheetViews>
  <sheetFormatPr defaultRowHeight="14.5" x14ac:dyDescent="0.35"/>
  <cols>
    <col min="1" max="1" width="1.81640625" customWidth="1"/>
    <col min="2" max="2" width="19" bestFit="1" customWidth="1"/>
  </cols>
  <sheetData>
    <row r="1" spans="2:9" x14ac:dyDescent="0.35">
      <c r="B1" s="74" t="str">
        <f>"Budget Assumptions-"&amp;'Data Sheet'!B1</f>
        <v>Budget Assumptions-HINDUSTAN UNILEVER LTD</v>
      </c>
      <c r="C1" s="74"/>
      <c r="D1" s="74"/>
      <c r="E1" s="74"/>
      <c r="F1" s="74"/>
      <c r="G1" s="74"/>
      <c r="H1" s="74"/>
      <c r="I1" s="74"/>
    </row>
    <row r="3" spans="2:9" x14ac:dyDescent="0.35">
      <c r="B3" s="40" t="s">
        <v>105</v>
      </c>
      <c r="C3" s="41">
        <f>'Histarical '!C3</f>
        <v>45382</v>
      </c>
      <c r="D3" s="41">
        <f>'Histarical '!D3</f>
        <v>45473</v>
      </c>
      <c r="E3" s="41">
        <f>'Histarical '!E3</f>
        <v>45565</v>
      </c>
      <c r="F3" s="41">
        <f>'Histarical '!F3</f>
        <v>45657</v>
      </c>
      <c r="G3" s="41">
        <f>'Histarical '!G3</f>
        <v>45747</v>
      </c>
      <c r="H3" s="41">
        <f>'Histarical '!H3</f>
        <v>45838</v>
      </c>
      <c r="I3" s="41" t="s">
        <v>106</v>
      </c>
    </row>
    <row r="4" spans="2:9" x14ac:dyDescent="0.35">
      <c r="B4" t="str">
        <f>'Histarical '!B5</f>
        <v>Revenu Grwoth</v>
      </c>
      <c r="C4" s="38" t="str">
        <f>'Histarical '!C5</f>
        <v>-</v>
      </c>
      <c r="D4" s="39">
        <v>3.2675871137409551E-2</v>
      </c>
      <c r="E4" s="39">
        <v>1.3942828038454147E-2</v>
      </c>
      <c r="F4" s="39">
        <v>-2.3232450081627554E-2</v>
      </c>
      <c r="G4" s="39">
        <v>-2.3527899202879898E-2</v>
      </c>
      <c r="H4" s="39">
        <v>3.7327188940092126E-2</v>
      </c>
      <c r="I4" s="5">
        <f>AVERAGE(D4:H4)</f>
        <v>7.4371077662896742E-3</v>
      </c>
    </row>
    <row r="5" spans="2:9" x14ac:dyDescent="0.35">
      <c r="B5" t="str">
        <f>'Histarical '!B8</f>
        <v>Expenses % Sales</v>
      </c>
      <c r="C5" s="32">
        <v>0.76758711374095989</v>
      </c>
      <c r="D5" s="32">
        <v>0.76176227159865029</v>
      </c>
      <c r="E5" s="32">
        <v>0.76221273389426092</v>
      </c>
      <c r="F5" s="32">
        <v>0.76285677552069941</v>
      </c>
      <c r="G5" s="32">
        <v>0.7618169848584595</v>
      </c>
      <c r="H5" s="32">
        <v>0.76905502316430796</v>
      </c>
      <c r="I5" s="5">
        <f t="shared" ref="I5:I13" si="0">AVERAGE(C5:H5)</f>
        <v>0.76421515046288968</v>
      </c>
    </row>
    <row r="6" spans="2:9" x14ac:dyDescent="0.35">
      <c r="B6" t="str">
        <f>'Histarical '!B11</f>
        <v>Operating Margin</v>
      </c>
      <c r="C6" s="32">
        <v>0.23241288625904011</v>
      </c>
      <c r="D6" s="32">
        <v>0.23823772840134971</v>
      </c>
      <c r="E6" s="32">
        <v>0.23778726610573905</v>
      </c>
      <c r="F6" s="32">
        <v>0.23714322447930059</v>
      </c>
      <c r="G6" s="32">
        <v>0.2381830151415405</v>
      </c>
      <c r="H6" s="32">
        <v>0.23094497683569207</v>
      </c>
      <c r="I6" s="5">
        <f t="shared" si="0"/>
        <v>0.23578484953711035</v>
      </c>
    </row>
    <row r="7" spans="2:9" x14ac:dyDescent="0.35">
      <c r="B7" t="str">
        <f>'Histarical '!B14</f>
        <v>Depreciation % Sales</v>
      </c>
      <c r="C7" s="32">
        <v>2.1038790269559501E-2</v>
      </c>
      <c r="D7" s="32">
        <v>2.0946074998408355E-2</v>
      </c>
      <c r="E7" s="32">
        <v>2.1223157101594878E-2</v>
      </c>
      <c r="F7" s="32">
        <v>2.0442273077912059E-2</v>
      </c>
      <c r="G7" s="32">
        <v>2.0934825543120473E-2</v>
      </c>
      <c r="H7" s="32">
        <v>2.0689217490639081E-2</v>
      </c>
      <c r="I7" s="5">
        <f t="shared" si="0"/>
        <v>2.0879056413539057E-2</v>
      </c>
    </row>
    <row r="8" spans="2:9" x14ac:dyDescent="0.35">
      <c r="B8" t="str">
        <f>'Histarical '!B17</f>
        <v>EBIT Margin</v>
      </c>
      <c r="C8" s="32">
        <v>0.21137409598948059</v>
      </c>
      <c r="D8" s="32">
        <v>0.21729165340294138</v>
      </c>
      <c r="E8" s="32">
        <v>0.21656410900414416</v>
      </c>
      <c r="F8" s="32">
        <v>0.21670095140138854</v>
      </c>
      <c r="G8" s="32">
        <v>0.21724818959842002</v>
      </c>
      <c r="H8" s="32">
        <v>0.210255759345053</v>
      </c>
      <c r="I8" s="5">
        <f t="shared" si="0"/>
        <v>0.21490579312357128</v>
      </c>
    </row>
    <row r="9" spans="2:9" x14ac:dyDescent="0.35">
      <c r="B9" t="str">
        <f>'Histarical '!B20</f>
        <v>Other Income % Sales</v>
      </c>
      <c r="C9" s="32">
        <v>2.0315581854043391E-2</v>
      </c>
      <c r="D9" s="32">
        <v>1.3306169223912905E-2</v>
      </c>
      <c r="E9" s="32">
        <v>1.274645234208213E-2</v>
      </c>
      <c r="F9" s="32">
        <v>4.7120082283363333E-2</v>
      </c>
      <c r="G9" s="32">
        <v>9.8090849242922981E-3</v>
      </c>
      <c r="H9" s="32">
        <v>6.5367773053246177E-3</v>
      </c>
      <c r="I9" s="5">
        <f t="shared" si="0"/>
        <v>1.8305691322169779E-2</v>
      </c>
    </row>
    <row r="10" spans="2:9" x14ac:dyDescent="0.35">
      <c r="B10" t="str">
        <f>'Histarical '!B23</f>
        <v>Interest % Sales</v>
      </c>
      <c r="C10" s="32">
        <v>6.9033530571992107E-3</v>
      </c>
      <c r="D10" s="32">
        <v>5.9209269752339725E-3</v>
      </c>
      <c r="E10" s="32">
        <v>6.9069446188622374E-3</v>
      </c>
      <c r="F10" s="32">
        <v>7.0069426587811776E-3</v>
      </c>
      <c r="G10" s="32">
        <v>5.0691244239631341E-3</v>
      </c>
      <c r="H10" s="32">
        <v>7.742590594656343E-3</v>
      </c>
      <c r="I10" s="5">
        <f t="shared" si="0"/>
        <v>6.5916470547826801E-3</v>
      </c>
    </row>
    <row r="11" spans="2:9" x14ac:dyDescent="0.35">
      <c r="B11" t="str">
        <f>'Histarical '!B26</f>
        <v>EBT Margin</v>
      </c>
      <c r="C11" s="32">
        <v>0.22478632478632479</v>
      </c>
      <c r="D11" s="32">
        <v>0.2246768956516203</v>
      </c>
      <c r="E11" s="32">
        <v>0.22240361672736406</v>
      </c>
      <c r="F11" s="32">
        <v>0.25681409102597069</v>
      </c>
      <c r="G11" s="32">
        <v>0.22198815009874917</v>
      </c>
      <c r="H11" s="32">
        <v>0.20904994605572128</v>
      </c>
      <c r="I11" s="5">
        <f t="shared" si="0"/>
        <v>0.22661983739095837</v>
      </c>
    </row>
    <row r="12" spans="2:9" x14ac:dyDescent="0.35">
      <c r="B12" t="str">
        <f>'Histarical '!B29</f>
        <v>Tax % Sales</v>
      </c>
      <c r="C12" s="32">
        <v>5.6410256410256411E-2</v>
      </c>
      <c r="D12" s="32">
        <v>5.8381613293436045E-2</v>
      </c>
      <c r="E12" s="32">
        <v>5.9462514127841266E-2</v>
      </c>
      <c r="F12" s="32">
        <v>6.4669580869118032E-2</v>
      </c>
      <c r="G12" s="32">
        <v>5.9052007899934165E-2</v>
      </c>
      <c r="H12" s="32">
        <v>3.3381988957288826E-2</v>
      </c>
      <c r="I12" s="5">
        <f t="shared" si="0"/>
        <v>5.5226326926312456E-2</v>
      </c>
    </row>
    <row r="13" spans="2:9" x14ac:dyDescent="0.35">
      <c r="B13" t="str">
        <f>'Histarical '!B32</f>
        <v>Net profit Margin</v>
      </c>
      <c r="C13" s="32">
        <v>0.16817882971729126</v>
      </c>
      <c r="D13" s="32">
        <v>0.166167950595276</v>
      </c>
      <c r="E13" s="32">
        <v>0.16268994097701872</v>
      </c>
      <c r="F13" s="32">
        <v>0.19182309076883516</v>
      </c>
      <c r="G13" s="32">
        <v>0.16221198156682029</v>
      </c>
      <c r="H13" s="32">
        <v>0.17490639081043347</v>
      </c>
      <c r="I13" s="5">
        <f t="shared" si="0"/>
        <v>0.17099636407261251</v>
      </c>
    </row>
  </sheetData>
  <mergeCells count="1">
    <mergeCell ref="B1:I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76279-165F-4CE5-8495-E67F03389416}">
  <dimension ref="B1:H15"/>
  <sheetViews>
    <sheetView showGridLines="0" topLeftCell="A3" zoomScale="145" zoomScaleNormal="145" workbookViewId="0">
      <selection activeCell="B5" sqref="B5:B14"/>
    </sheetView>
  </sheetViews>
  <sheetFormatPr defaultRowHeight="14.5" x14ac:dyDescent="0.35"/>
  <cols>
    <col min="1" max="1" width="1.81640625" customWidth="1"/>
    <col min="2" max="2" width="14.1796875" bestFit="1" customWidth="1"/>
    <col min="3" max="4" width="9.26953125" bestFit="1" customWidth="1"/>
    <col min="5" max="6" width="9.36328125" bestFit="1" customWidth="1"/>
  </cols>
  <sheetData>
    <row r="1" spans="2:8" x14ac:dyDescent="0.35">
      <c r="B1" s="45" t="str">
        <f>"Budget Next 4 Quarters-"&amp;'Data Sheet'!B1</f>
        <v>Budget Next 4 Quarters-HINDUSTAN UNILEVER LTD</v>
      </c>
      <c r="C1" s="45"/>
      <c r="D1" s="45"/>
      <c r="E1" s="45"/>
      <c r="F1" s="45"/>
      <c r="G1" s="26"/>
      <c r="H1" s="26"/>
    </row>
    <row r="3" spans="2:8" x14ac:dyDescent="0.35">
      <c r="B3" s="40" t="s">
        <v>39</v>
      </c>
      <c r="C3" s="46">
        <f>Quarters[[#This Row],[Column8]]</f>
        <v>45930</v>
      </c>
      <c r="D3" s="46">
        <f>Quarters[[#This Row],[Column9]]</f>
        <v>46022</v>
      </c>
      <c r="E3" s="46">
        <f>Quarters[[#This Row],[Column10]]</f>
        <v>46112</v>
      </c>
      <c r="F3" s="46">
        <f>Quarters[[#This Row],[Column11]]</f>
        <v>46203</v>
      </c>
    </row>
    <row r="4" spans="2:8" x14ac:dyDescent="0.35">
      <c r="B4" s="2"/>
      <c r="C4" s="47"/>
      <c r="D4" s="47"/>
      <c r="E4" s="47"/>
      <c r="F4" s="47"/>
    </row>
    <row r="5" spans="2:8" x14ac:dyDescent="0.35">
      <c r="B5" s="2" t="s">
        <v>111</v>
      </c>
      <c r="C5" s="43">
        <f>'Histarical '!H4*(1+Budget_Assumptions!$I$4)</f>
        <v>15874.186507073426</v>
      </c>
      <c r="D5" s="43">
        <f>C5*(1+Budget_Assumptions!$I$4)</f>
        <v>15992.24454282871</v>
      </c>
      <c r="E5" s="43">
        <f>D5*(1+Budget_Assumptions!$I$4)</f>
        <v>16111.180588918583</v>
      </c>
      <c r="F5" s="43">
        <f>E5*(1+Budget_Assumptions!$I$4)</f>
        <v>16231.001175200523</v>
      </c>
    </row>
    <row r="6" spans="2:8" x14ac:dyDescent="0.35">
      <c r="B6" t="s">
        <v>7</v>
      </c>
      <c r="C6">
        <f>Budgets!C5*Budget_Assumptions!$I$5</f>
        <v>12131.293829979091</v>
      </c>
      <c r="D6">
        <f>Budgets!D5*Budget_Assumptions!$I$5</f>
        <v>12221.515569537169</v>
      </c>
      <c r="E6">
        <f>Budgets!E5*Budget_Assumptions!$I$5</f>
        <v>12312.408297895203</v>
      </c>
      <c r="F6">
        <f>Budgets!F5*Budget_Assumptions!$I$5</f>
        <v>12403.977005269207</v>
      </c>
    </row>
    <row r="7" spans="2:8" x14ac:dyDescent="0.35">
      <c r="B7" s="48" t="s">
        <v>8</v>
      </c>
      <c r="C7" s="49">
        <f>C5-C6</f>
        <v>3742.8926770943344</v>
      </c>
      <c r="D7" s="49">
        <f t="shared" ref="D7:F7" si="0">D5-D6</f>
        <v>3770.7289732915415</v>
      </c>
      <c r="E7" s="49">
        <f t="shared" si="0"/>
        <v>3798.7722910233806</v>
      </c>
      <c r="F7" s="49">
        <f t="shared" si="0"/>
        <v>3827.0241699313156</v>
      </c>
    </row>
    <row r="8" spans="2:8" x14ac:dyDescent="0.35">
      <c r="B8" t="s">
        <v>10</v>
      </c>
      <c r="C8" s="44">
        <f>C5*Budget_Assumptions!$I$7</f>
        <v>331.43803560022656</v>
      </c>
      <c r="D8" s="44">
        <f>D5*Budget_Assumptions!$I$7</f>
        <v>333.90297598883279</v>
      </c>
      <c r="E8" s="44">
        <f>E5*Budget_Assumptions!$I$7</f>
        <v>336.38624840474654</v>
      </c>
      <c r="F8" s="44">
        <f>F5*Budget_Assumptions!$I$7</f>
        <v>338.88798918523048</v>
      </c>
    </row>
    <row r="9" spans="2:8" x14ac:dyDescent="0.35">
      <c r="B9" s="48" t="s">
        <v>94</v>
      </c>
      <c r="C9" s="49">
        <f>C7-C8</f>
        <v>3411.4546414941078</v>
      </c>
      <c r="D9" s="49">
        <f t="shared" ref="D9:F9" si="1">D7-D8</f>
        <v>3436.8259973027089</v>
      </c>
      <c r="E9" s="49">
        <f t="shared" si="1"/>
        <v>3462.3860426186338</v>
      </c>
      <c r="F9" s="49">
        <f t="shared" si="1"/>
        <v>3488.1361807460853</v>
      </c>
    </row>
    <row r="10" spans="2:8" x14ac:dyDescent="0.35">
      <c r="B10" t="s">
        <v>9</v>
      </c>
      <c r="C10" s="44">
        <f>C5*Budget_Assumptions!$I$9</f>
        <v>290.5879581890386</v>
      </c>
      <c r="D10" s="44">
        <f>D5*Budget_Assumptions!$I$9</f>
        <v>292.74909214967653</v>
      </c>
      <c r="E10" s="44">
        <f>E5*Budget_Assumptions!$I$9</f>
        <v>294.92629869647709</v>
      </c>
      <c r="F10" s="44">
        <f>F5*Budget_Assumptions!$I$9</f>
        <v>297.11969736299568</v>
      </c>
    </row>
    <row r="11" spans="2:8" x14ac:dyDescent="0.35">
      <c r="B11" t="s">
        <v>11</v>
      </c>
      <c r="C11" s="44">
        <f>C5*Budget_Assumptions!$I$10</f>
        <v>104.63703473642151</v>
      </c>
      <c r="D11" s="44">
        <f>D5*Budget_Assumptions!$I$10</f>
        <v>105.41523164010125</v>
      </c>
      <c r="E11" s="44">
        <f>E5*Budget_Assumptions!$I$10</f>
        <v>106.19921607801706</v>
      </c>
      <c r="F11" s="44">
        <f>F5*Budget_Assumptions!$I$10</f>
        <v>106.98903109268474</v>
      </c>
    </row>
    <row r="12" spans="2:8" x14ac:dyDescent="0.35">
      <c r="B12" s="48" t="s">
        <v>95</v>
      </c>
      <c r="C12" s="49">
        <f>(C9+C10)-C11</f>
        <v>3597.405564946725</v>
      </c>
      <c r="D12" s="49">
        <f t="shared" ref="D12:F12" si="2">(D9+D10)-D11</f>
        <v>3624.1598578122839</v>
      </c>
      <c r="E12" s="49">
        <f t="shared" si="2"/>
        <v>3651.1131252370942</v>
      </c>
      <c r="F12" s="49">
        <f t="shared" si="2"/>
        <v>3678.2668470163962</v>
      </c>
    </row>
    <row r="13" spans="2:8" x14ac:dyDescent="0.35">
      <c r="B13" t="s">
        <v>13</v>
      </c>
      <c r="C13" s="44">
        <f>C5*Budget_Assumptions!$I$12</f>
        <v>876.67301372889506</v>
      </c>
      <c r="D13" s="44">
        <f>D5*Budget_Assumptions!$I$12</f>
        <v>883.19292540779463</v>
      </c>
      <c r="E13" s="44">
        <f>E5*Budget_Assumptions!$I$12</f>
        <v>889.7613263724769</v>
      </c>
      <c r="F13" s="44">
        <f>F5*Budget_Assumptions!$I$12</f>
        <v>896.37857724298578</v>
      </c>
    </row>
    <row r="14" spans="2:8" ht="15" thickBot="1" x14ac:dyDescent="0.4">
      <c r="B14" s="50" t="s">
        <v>110</v>
      </c>
      <c r="C14" s="51">
        <f>C12-C13</f>
        <v>2720.73255121783</v>
      </c>
      <c r="D14" s="51">
        <f t="shared" ref="D14:F14" si="3">D12-D13</f>
        <v>2740.9669324044894</v>
      </c>
      <c r="E14" s="51">
        <f t="shared" si="3"/>
        <v>2761.3517988646172</v>
      </c>
      <c r="F14" s="51">
        <f t="shared" si="3"/>
        <v>2781.8882697734107</v>
      </c>
    </row>
    <row r="15" spans="2:8" ht="15" thickTop="1" x14ac:dyDescent="0.35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Normal="100" workbookViewId="0">
      <pane xSplit="1" ySplit="3" topLeftCell="C4" activePane="bottomRight" state="frozen"/>
      <selection pane="topRight" activeCell="B1" sqref="B1"/>
      <selection pane="bottomLeft" activeCell="A4" sqref="A4"/>
      <selection pane="bottomRight" activeCell="L7" sqref="L7"/>
    </sheetView>
  </sheetViews>
  <sheetFormatPr defaultColWidth="8.81640625" defaultRowHeight="14.5" x14ac:dyDescent="0.35"/>
  <cols>
    <col min="1" max="1" width="20.6328125" customWidth="1"/>
    <col min="2" max="11" width="13.453125" bestFit="1" customWidth="1"/>
  </cols>
  <sheetData>
    <row r="1" spans="1:11" s="2" customFormat="1" x14ac:dyDescent="0.35">
      <c r="A1" s="2" t="str">
        <f>'Profit &amp; Loss'!A1</f>
        <v>HINDUSTAN UNILEVER LTD</v>
      </c>
      <c r="E1" t="str">
        <f>UPDATE</f>
        <v/>
      </c>
      <c r="J1" s="2" t="s">
        <v>1</v>
      </c>
    </row>
    <row r="3" spans="1:11" s="2" customFormat="1" x14ac:dyDescent="0.35">
      <c r="A3" s="11" t="s">
        <v>2</v>
      </c>
      <c r="B3" s="12">
        <f>'Data Sheet'!B41</f>
        <v>45382</v>
      </c>
      <c r="C3" s="12">
        <f>'Data Sheet'!C41</f>
        <v>45473</v>
      </c>
      <c r="D3" s="12">
        <f>'Data Sheet'!D41</f>
        <v>45565</v>
      </c>
      <c r="E3" s="12">
        <f>'Data Sheet'!E41</f>
        <v>45657</v>
      </c>
      <c r="F3" s="12">
        <f>'Data Sheet'!F41</f>
        <v>45747</v>
      </c>
      <c r="G3" s="12">
        <f>'Data Sheet'!G41</f>
        <v>45838</v>
      </c>
      <c r="H3" s="12">
        <f>'Data Sheet'!H41</f>
        <v>45930</v>
      </c>
      <c r="I3" s="12">
        <f>'Data Sheet'!I41</f>
        <v>46022</v>
      </c>
      <c r="J3" s="12">
        <f>'Data Sheet'!J41</f>
        <v>46112</v>
      </c>
      <c r="K3" s="12">
        <f>'Data Sheet'!K41</f>
        <v>46203</v>
      </c>
    </row>
    <row r="4" spans="1:11" s="2" customFormat="1" x14ac:dyDescent="0.35">
      <c r="A4" s="2" t="s">
        <v>6</v>
      </c>
      <c r="B4" s="1">
        <f>'Data Sheet'!B42</f>
        <v>15210</v>
      </c>
      <c r="C4" s="1">
        <f>'Data Sheet'!C42</f>
        <v>15707</v>
      </c>
      <c r="D4" s="1">
        <f>'Data Sheet'!D42</f>
        <v>15926</v>
      </c>
      <c r="E4" s="1">
        <f>'Data Sheet'!E42</f>
        <v>15556</v>
      </c>
      <c r="F4" s="1">
        <f>'Data Sheet'!F42</f>
        <v>15190</v>
      </c>
      <c r="G4" s="1">
        <f>'Data Sheet'!G42</f>
        <v>15757</v>
      </c>
      <c r="H4" s="1">
        <f>'Data Sheet'!H42</f>
        <v>15919</v>
      </c>
      <c r="I4" s="1">
        <f>'Data Sheet'!I42</f>
        <v>16441</v>
      </c>
      <c r="J4" s="1">
        <f>'Data Sheet'!J42</f>
        <v>16351</v>
      </c>
      <c r="K4" s="1">
        <f>'Data Sheet'!K42</f>
        <v>17341</v>
      </c>
    </row>
    <row r="5" spans="1:11" x14ac:dyDescent="0.35">
      <c r="A5" t="s">
        <v>7</v>
      </c>
      <c r="B5" s="6">
        <f>'Data Sheet'!B43</f>
        <v>11675</v>
      </c>
      <c r="C5" s="6">
        <f>'Data Sheet'!C43</f>
        <v>11965</v>
      </c>
      <c r="D5" s="6">
        <f>'Data Sheet'!D43</f>
        <v>12139</v>
      </c>
      <c r="E5" s="6">
        <f>'Data Sheet'!E43</f>
        <v>11867</v>
      </c>
      <c r="F5" s="6">
        <f>'Data Sheet'!F43</f>
        <v>11572</v>
      </c>
      <c r="G5" s="6">
        <f>'Data Sheet'!G43</f>
        <v>12118</v>
      </c>
      <c r="H5" s="6">
        <f>'Data Sheet'!H43</f>
        <v>12137</v>
      </c>
      <c r="I5" s="6">
        <f>'Data Sheet'!I43</f>
        <v>12660</v>
      </c>
      <c r="J5" s="6">
        <f>'Data Sheet'!J43</f>
        <v>12514</v>
      </c>
      <c r="K5" s="6">
        <f>'Data Sheet'!K43</f>
        <v>13394</v>
      </c>
    </row>
    <row r="6" spans="1:11" s="2" customFormat="1" x14ac:dyDescent="0.35">
      <c r="A6" s="2" t="s">
        <v>8</v>
      </c>
      <c r="B6" s="1">
        <f>'Data Sheet'!B50</f>
        <v>3535</v>
      </c>
      <c r="C6" s="1">
        <f>'Data Sheet'!C50</f>
        <v>3742</v>
      </c>
      <c r="D6" s="1">
        <f>'Data Sheet'!D50</f>
        <v>3787</v>
      </c>
      <c r="E6" s="1">
        <f>'Data Sheet'!E50</f>
        <v>3689</v>
      </c>
      <c r="F6" s="1">
        <f>'Data Sheet'!F50</f>
        <v>3618</v>
      </c>
      <c r="G6" s="1">
        <f>'Data Sheet'!G50</f>
        <v>3639</v>
      </c>
      <c r="H6" s="1">
        <f>'Data Sheet'!H50</f>
        <v>3782</v>
      </c>
      <c r="I6" s="1">
        <f>'Data Sheet'!I50</f>
        <v>3781</v>
      </c>
      <c r="J6" s="1">
        <f>'Data Sheet'!J50</f>
        <v>3837</v>
      </c>
      <c r="K6" s="1">
        <f>'Data Sheet'!K50</f>
        <v>3947</v>
      </c>
    </row>
    <row r="7" spans="1:11" x14ac:dyDescent="0.35">
      <c r="A7" t="s">
        <v>9</v>
      </c>
      <c r="B7" s="6">
        <f>'Data Sheet'!B44</f>
        <v>309</v>
      </c>
      <c r="C7" s="6">
        <f>'Data Sheet'!C44</f>
        <v>209</v>
      </c>
      <c r="D7" s="6">
        <f>'Data Sheet'!D44</f>
        <v>203</v>
      </c>
      <c r="E7" s="6">
        <f>'Data Sheet'!E44</f>
        <v>733</v>
      </c>
      <c r="F7" s="6">
        <f>'Data Sheet'!F44</f>
        <v>149</v>
      </c>
      <c r="G7" s="6">
        <f>'Data Sheet'!G44</f>
        <v>103</v>
      </c>
      <c r="H7" s="6">
        <f>'Data Sheet'!H44</f>
        <v>269</v>
      </c>
      <c r="I7" s="6">
        <f>'Data Sheet'!I44</f>
        <v>4048</v>
      </c>
      <c r="J7" s="6">
        <f>'Data Sheet'!J44</f>
        <v>503</v>
      </c>
      <c r="K7" s="6">
        <f>'Data Sheet'!K44</f>
        <v>113</v>
      </c>
    </row>
    <row r="8" spans="1:11" x14ac:dyDescent="0.35">
      <c r="A8" t="s">
        <v>10</v>
      </c>
      <c r="B8" s="6">
        <f>'Data Sheet'!B45</f>
        <v>320</v>
      </c>
      <c r="C8" s="6">
        <f>'Data Sheet'!C45</f>
        <v>329</v>
      </c>
      <c r="D8" s="6">
        <f>'Data Sheet'!D45</f>
        <v>338</v>
      </c>
      <c r="E8" s="6">
        <f>'Data Sheet'!E45</f>
        <v>318</v>
      </c>
      <c r="F8" s="6">
        <f>'Data Sheet'!F45</f>
        <v>318</v>
      </c>
      <c r="G8" s="6">
        <f>'Data Sheet'!G45</f>
        <v>326</v>
      </c>
      <c r="H8" s="6">
        <f>'Data Sheet'!H45</f>
        <v>322</v>
      </c>
      <c r="I8" s="6">
        <f>'Data Sheet'!I45</f>
        <v>337</v>
      </c>
      <c r="J8" s="6">
        <f>'Data Sheet'!J45</f>
        <v>348</v>
      </c>
      <c r="K8" s="6">
        <f>'Data Sheet'!K45</f>
        <v>353</v>
      </c>
    </row>
    <row r="9" spans="1:11" x14ac:dyDescent="0.35">
      <c r="A9" t="s">
        <v>11</v>
      </c>
      <c r="B9" s="6">
        <f>'Data Sheet'!B46</f>
        <v>105</v>
      </c>
      <c r="C9" s="6">
        <f>'Data Sheet'!C46</f>
        <v>93</v>
      </c>
      <c r="D9" s="6">
        <f>'Data Sheet'!D46</f>
        <v>110</v>
      </c>
      <c r="E9" s="6">
        <f>'Data Sheet'!E46</f>
        <v>109</v>
      </c>
      <c r="F9" s="6">
        <f>'Data Sheet'!F46</f>
        <v>77</v>
      </c>
      <c r="G9" s="6">
        <f>'Data Sheet'!G46</f>
        <v>122</v>
      </c>
      <c r="H9" s="6">
        <f>'Data Sheet'!H46</f>
        <v>124</v>
      </c>
      <c r="I9" s="6">
        <f>'Data Sheet'!I46</f>
        <v>88</v>
      </c>
      <c r="J9" s="6">
        <f>'Data Sheet'!J46</f>
        <v>76</v>
      </c>
      <c r="K9" s="6">
        <f>'Data Sheet'!K46</f>
        <v>75</v>
      </c>
    </row>
    <row r="10" spans="1:11" x14ac:dyDescent="0.35">
      <c r="A10" t="s">
        <v>12</v>
      </c>
      <c r="B10" s="6">
        <f>'Data Sheet'!B47</f>
        <v>3419</v>
      </c>
      <c r="C10" s="6">
        <f>'Data Sheet'!C47</f>
        <v>3529</v>
      </c>
      <c r="D10" s="6">
        <f>'Data Sheet'!D47</f>
        <v>3542</v>
      </c>
      <c r="E10" s="6">
        <f>'Data Sheet'!E47</f>
        <v>3995</v>
      </c>
      <c r="F10" s="6">
        <f>'Data Sheet'!F47</f>
        <v>3372</v>
      </c>
      <c r="G10" s="6">
        <f>'Data Sheet'!G47</f>
        <v>3294</v>
      </c>
      <c r="H10" s="6">
        <f>'Data Sheet'!H47</f>
        <v>3605</v>
      </c>
      <c r="I10" s="6">
        <f>'Data Sheet'!I47</f>
        <v>7404</v>
      </c>
      <c r="J10" s="6">
        <f>'Data Sheet'!J47</f>
        <v>3916</v>
      </c>
      <c r="K10" s="6">
        <f>'Data Sheet'!K47</f>
        <v>3632</v>
      </c>
    </row>
    <row r="11" spans="1:11" x14ac:dyDescent="0.35">
      <c r="A11" t="s">
        <v>13</v>
      </c>
      <c r="B11" s="6">
        <f>'Data Sheet'!B48</f>
        <v>858</v>
      </c>
      <c r="C11" s="6">
        <f>'Data Sheet'!C48</f>
        <v>917</v>
      </c>
      <c r="D11" s="6">
        <f>'Data Sheet'!D48</f>
        <v>947</v>
      </c>
      <c r="E11" s="6">
        <f>'Data Sheet'!E48</f>
        <v>1006</v>
      </c>
      <c r="F11" s="6">
        <f>'Data Sheet'!F48</f>
        <v>897</v>
      </c>
      <c r="G11" s="6">
        <f>'Data Sheet'!G48</f>
        <v>526</v>
      </c>
      <c r="H11" s="6">
        <f>'Data Sheet'!H48</f>
        <v>911</v>
      </c>
      <c r="I11" s="6">
        <f>'Data Sheet'!I48</f>
        <v>801</v>
      </c>
      <c r="J11" s="6">
        <f>'Data Sheet'!J48</f>
        <v>922</v>
      </c>
      <c r="K11" s="6">
        <f>'Data Sheet'!K48</f>
        <v>952</v>
      </c>
    </row>
    <row r="12" spans="1:11" s="2" customFormat="1" x14ac:dyDescent="0.35">
      <c r="A12" s="2" t="s">
        <v>14</v>
      </c>
      <c r="B12" s="1">
        <f>'Data Sheet'!B49</f>
        <v>2558</v>
      </c>
      <c r="C12" s="1">
        <f>'Data Sheet'!C49</f>
        <v>2610</v>
      </c>
      <c r="D12" s="1">
        <f>'Data Sheet'!D49</f>
        <v>2591</v>
      </c>
      <c r="E12" s="1">
        <f>'Data Sheet'!E49</f>
        <v>2984</v>
      </c>
      <c r="F12" s="1">
        <f>'Data Sheet'!F49</f>
        <v>2464</v>
      </c>
      <c r="G12" s="1">
        <f>'Data Sheet'!G49</f>
        <v>2756</v>
      </c>
      <c r="H12" s="1">
        <f>'Data Sheet'!H49</f>
        <v>2685</v>
      </c>
      <c r="I12" s="1">
        <f>'Data Sheet'!I49</f>
        <v>6607</v>
      </c>
      <c r="J12" s="1">
        <f>'Data Sheet'!J49</f>
        <v>2992</v>
      </c>
      <c r="K12" s="1">
        <f>'Data Sheet'!K49</f>
        <v>2673</v>
      </c>
    </row>
    <row r="14" spans="1:11" s="2" customFormat="1" x14ac:dyDescent="0.35">
      <c r="A14" s="2" t="s">
        <v>18</v>
      </c>
      <c r="B14" s="10">
        <f>IF(B4&gt;0,B6/B4,"")</f>
        <v>0.23241288625904011</v>
      </c>
      <c r="C14" s="10">
        <f t="shared" ref="C14:K14" si="0">IF(C4&gt;0,C6/C4,"")</f>
        <v>0.23823772840134971</v>
      </c>
      <c r="D14" s="10">
        <f t="shared" si="0"/>
        <v>0.23778726610573905</v>
      </c>
      <c r="E14" s="10">
        <f t="shared" si="0"/>
        <v>0.23714322447930059</v>
      </c>
      <c r="F14" s="10">
        <f t="shared" si="0"/>
        <v>0.2381830151415405</v>
      </c>
      <c r="G14" s="10">
        <f t="shared" si="0"/>
        <v>0.23094497683569207</v>
      </c>
      <c r="H14" s="10">
        <f t="shared" si="0"/>
        <v>0.23757773729505621</v>
      </c>
      <c r="I14" s="10">
        <f t="shared" si="0"/>
        <v>0.22997384587312208</v>
      </c>
      <c r="J14" s="10">
        <f t="shared" si="0"/>
        <v>0.23466454651091675</v>
      </c>
      <c r="K14" s="10">
        <f t="shared" si="0"/>
        <v>0.22761086442535033</v>
      </c>
    </row>
    <row r="22" s="23" customFormat="1" x14ac:dyDescent="0.35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E02EA-B3AF-4CAF-8F84-292FA07D3A72}">
  <dimension ref="B1:X13"/>
  <sheetViews>
    <sheetView showGridLines="0" workbookViewId="0">
      <selection activeCell="D9" sqref="D9"/>
    </sheetView>
  </sheetViews>
  <sheetFormatPr defaultRowHeight="14.5" x14ac:dyDescent="0.35"/>
  <cols>
    <col min="1" max="1" width="1.81640625" customWidth="1"/>
    <col min="2" max="2" width="8.26953125" bestFit="1" customWidth="1"/>
    <col min="4" max="4" width="14.54296875" bestFit="1" customWidth="1"/>
    <col min="5" max="5" width="14.36328125" bestFit="1" customWidth="1"/>
    <col min="7" max="7" width="10" bestFit="1" customWidth="1"/>
    <col min="8" max="8" width="9" bestFit="1" customWidth="1"/>
  </cols>
  <sheetData>
    <row r="1" spans="2:24" x14ac:dyDescent="0.35">
      <c r="B1" s="75" t="str">
        <f>"Revenue Variance Analysis-"&amp;'Data Sheet'!B1</f>
        <v>Revenue Variance Analysis-HINDUSTAN UNILEVER LTD</v>
      </c>
      <c r="C1" s="75"/>
      <c r="D1" s="75"/>
      <c r="E1" s="75"/>
      <c r="F1" s="75"/>
      <c r="G1" s="75"/>
      <c r="H1" s="75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</row>
    <row r="2" spans="2:24" x14ac:dyDescent="0.35">
      <c r="B2" s="2" t="s">
        <v>39</v>
      </c>
      <c r="D2" s="2" t="s">
        <v>120</v>
      </c>
      <c r="E2" s="2" t="s">
        <v>121</v>
      </c>
      <c r="F2" s="2" t="s">
        <v>115</v>
      </c>
      <c r="G2" s="2" t="s">
        <v>122</v>
      </c>
      <c r="H2" s="2" t="s">
        <v>123</v>
      </c>
    </row>
    <row r="3" spans="2:24" x14ac:dyDescent="0.35">
      <c r="B3" s="53">
        <f>Budgets!C3</f>
        <v>45930</v>
      </c>
      <c r="D3" s="52">
        <f>BMetricudget_VS_Actuales!C5</f>
        <v>15919</v>
      </c>
      <c r="E3" s="54">
        <f>BMetricudget_VS_Actuales!D5</f>
        <v>15874.186507073426</v>
      </c>
      <c r="F3" s="52">
        <f>D3-E3</f>
        <v>44.813492926574327</v>
      </c>
      <c r="G3" s="32">
        <f>(D3-E3)/E3*1</f>
        <v>2.8230418551908627E-3</v>
      </c>
      <c r="H3" t="str">
        <f>IF(D3&gt;E3,"Favorable","Unfavorable")</f>
        <v>Favorable</v>
      </c>
    </row>
    <row r="4" spans="2:24" x14ac:dyDescent="0.35">
      <c r="B4" s="53">
        <f>Budgets!D3</f>
        <v>46022</v>
      </c>
      <c r="D4" s="52">
        <f>BMetricudget_VS_Actuales!I5</f>
        <v>16441</v>
      </c>
      <c r="E4" s="54">
        <f>BMetricudget_VS_Actuales!J5</f>
        <v>15992.24454282871</v>
      </c>
      <c r="F4" s="52">
        <f t="shared" ref="F4:F6" si="0">D4-E4</f>
        <v>448.75545717128989</v>
      </c>
      <c r="G4" s="32">
        <f t="shared" ref="G4:G6" si="1">(D4-E4)/E4*1</f>
        <v>2.8060817602524855E-2</v>
      </c>
      <c r="H4" t="str">
        <f t="shared" ref="H4:H6" si="2">IF(D4&gt;E4,"Favorable","Unfavorable")</f>
        <v>Favorable</v>
      </c>
    </row>
    <row r="5" spans="2:24" x14ac:dyDescent="0.35">
      <c r="B5" s="53">
        <f>Budgets!E3</f>
        <v>46112</v>
      </c>
      <c r="D5" s="52">
        <f>BMetricudget_VS_Actuales!O5</f>
        <v>16351</v>
      </c>
      <c r="E5" s="54">
        <f>BMetricudget_VS_Actuales!P5</f>
        <v>16111.180588918583</v>
      </c>
      <c r="F5" s="52">
        <f t="shared" si="0"/>
        <v>239.81941108141655</v>
      </c>
      <c r="G5" s="32">
        <f t="shared" si="1"/>
        <v>1.4885278565269545E-2</v>
      </c>
      <c r="H5" t="str">
        <f t="shared" si="2"/>
        <v>Favorable</v>
      </c>
    </row>
    <row r="6" spans="2:24" x14ac:dyDescent="0.35">
      <c r="B6" s="53">
        <f>Budgets!F3</f>
        <v>46203</v>
      </c>
      <c r="D6" s="52">
        <f>BMetricudget_VS_Actuales!U5</f>
        <v>17341</v>
      </c>
      <c r="E6" s="54">
        <f>BMetricudget_VS_Actuales!V5</f>
        <v>16231.001175200523</v>
      </c>
      <c r="F6" s="52">
        <f t="shared" si="0"/>
        <v>1109.998824799477</v>
      </c>
      <c r="G6" s="32">
        <f t="shared" si="1"/>
        <v>6.8387575899843636E-2</v>
      </c>
      <c r="H6" t="str">
        <f t="shared" si="2"/>
        <v>Favorable</v>
      </c>
    </row>
    <row r="8" spans="2:24" ht="17.5" x14ac:dyDescent="0.35">
      <c r="B8" s="55" t="s">
        <v>124</v>
      </c>
    </row>
    <row r="9" spans="2:24" x14ac:dyDescent="0.35">
      <c r="B9" s="56"/>
    </row>
    <row r="10" spans="2:24" x14ac:dyDescent="0.35">
      <c r="B10" s="57" t="s">
        <v>125</v>
      </c>
    </row>
    <row r="11" spans="2:24" x14ac:dyDescent="0.35">
      <c r="B11" s="57" t="s">
        <v>126</v>
      </c>
    </row>
    <row r="12" spans="2:24" x14ac:dyDescent="0.35">
      <c r="B12" s="57" t="s">
        <v>127</v>
      </c>
    </row>
    <row r="13" spans="2:24" x14ac:dyDescent="0.35">
      <c r="B13" s="57" t="s">
        <v>128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AD7DA-727D-4662-BA8E-017C35490401}">
  <dimension ref="B1:H15"/>
  <sheetViews>
    <sheetView showGridLines="0" workbookViewId="0">
      <selection activeCell="B3" sqref="B3:G7"/>
    </sheetView>
  </sheetViews>
  <sheetFormatPr defaultRowHeight="14.5" x14ac:dyDescent="0.35"/>
  <cols>
    <col min="1" max="1" width="1.81640625" customWidth="1"/>
    <col min="4" max="4" width="14.26953125" bestFit="1" customWidth="1"/>
    <col min="5" max="5" width="14.08984375" bestFit="1" customWidth="1"/>
    <col min="6" max="6" width="9.36328125" bestFit="1" customWidth="1"/>
    <col min="7" max="7" width="9.90625" bestFit="1" customWidth="1"/>
    <col min="8" max="8" width="11.08984375" bestFit="1" customWidth="1"/>
  </cols>
  <sheetData>
    <row r="1" spans="2:8" x14ac:dyDescent="0.35">
      <c r="B1" s="75" t="str">
        <f>"Cost/Expenses Variance Analysis-"&amp;'Data Sheet'!B1</f>
        <v>Cost/Expenses Variance Analysis-HINDUSTAN UNILEVER LTD</v>
      </c>
      <c r="C1" s="75"/>
      <c r="D1" s="75"/>
      <c r="E1" s="75"/>
      <c r="F1" s="75"/>
      <c r="G1" s="75"/>
      <c r="H1" s="75"/>
    </row>
    <row r="3" spans="2:8" x14ac:dyDescent="0.35">
      <c r="B3" s="2" t="s">
        <v>39</v>
      </c>
      <c r="D3" t="s">
        <v>129</v>
      </c>
      <c r="E3" t="s">
        <v>130</v>
      </c>
      <c r="F3" t="s">
        <v>115</v>
      </c>
      <c r="G3" t="s">
        <v>122</v>
      </c>
      <c r="H3" t="s">
        <v>123</v>
      </c>
    </row>
    <row r="4" spans="2:8" x14ac:dyDescent="0.35">
      <c r="B4" s="53">
        <f>'Revenue Analysis'!B3</f>
        <v>45930</v>
      </c>
      <c r="D4" s="52">
        <f>BMetricudget_VS_Actuales!C6</f>
        <v>12137</v>
      </c>
      <c r="E4" s="52">
        <f>BMetricudget_VS_Actuales!D6</f>
        <v>12131.293829979091</v>
      </c>
      <c r="F4" s="52">
        <f>D4-E4</f>
        <v>5.7061700209087576</v>
      </c>
      <c r="G4" s="32">
        <f>(D4-E4)/E4*1</f>
        <v>4.7036780255108144E-4</v>
      </c>
      <c r="H4" t="str">
        <f>IF(D4&lt;E4,"favorable","Unfavorable")</f>
        <v>Unfavorable</v>
      </c>
    </row>
    <row r="5" spans="2:8" x14ac:dyDescent="0.35">
      <c r="B5" s="53">
        <f>'Revenue Analysis'!B4</f>
        <v>46022</v>
      </c>
      <c r="D5" s="52">
        <f>BMetricudget_VS_Actuales!O6</f>
        <v>12514</v>
      </c>
      <c r="E5" s="52">
        <f>BMetricudget_VS_Actuales!J6</f>
        <v>12221.515569537169</v>
      </c>
      <c r="F5" s="52">
        <f t="shared" ref="F5:F7" si="0">D5-E5</f>
        <v>292.48443046283137</v>
      </c>
      <c r="G5" s="32">
        <f t="shared" ref="G5:G7" si="1">(D5-E5)/E5*1</f>
        <v>2.3931927983781787E-2</v>
      </c>
      <c r="H5" t="str">
        <f t="shared" ref="H5:H7" si="2">IF(D5&lt;E5,"favorable","Unfavorable")</f>
        <v>Unfavorable</v>
      </c>
    </row>
    <row r="6" spans="2:8" x14ac:dyDescent="0.35">
      <c r="B6" s="53">
        <f>'Revenue Analysis'!B5</f>
        <v>46112</v>
      </c>
      <c r="D6" s="52">
        <f>BMetricudget_VS_Actuales!U6</f>
        <v>13394</v>
      </c>
      <c r="E6" s="52">
        <f>BMetricudget_VS_Actuales!P6</f>
        <v>12312.408297895203</v>
      </c>
      <c r="F6" s="52">
        <f t="shared" si="0"/>
        <v>1081.5917021047972</v>
      </c>
      <c r="G6" s="32">
        <f t="shared" si="1"/>
        <v>8.7845665603023773E-2</v>
      </c>
      <c r="H6" t="str">
        <f t="shared" si="2"/>
        <v>Unfavorable</v>
      </c>
    </row>
    <row r="7" spans="2:8" x14ac:dyDescent="0.35">
      <c r="B7" s="53">
        <f>'Revenue Analysis'!B6</f>
        <v>46203</v>
      </c>
      <c r="D7" s="52">
        <f>BMetricudget_VS_Actuales!U6</f>
        <v>13394</v>
      </c>
      <c r="E7" s="52">
        <f>BMetricudget_VS_Actuales!V6</f>
        <v>12403.977005269207</v>
      </c>
      <c r="F7" s="52">
        <f t="shared" si="0"/>
        <v>990.02299473079256</v>
      </c>
      <c r="G7" s="32">
        <f t="shared" si="1"/>
        <v>7.9814965338151703E-2</v>
      </c>
      <c r="H7" t="str">
        <f t="shared" si="2"/>
        <v>Unfavorable</v>
      </c>
    </row>
    <row r="8" spans="2:8" x14ac:dyDescent="0.35">
      <c r="B8" s="25"/>
    </row>
    <row r="9" spans="2:8" ht="17.5" x14ac:dyDescent="0.35">
      <c r="B9" s="55" t="s">
        <v>139</v>
      </c>
    </row>
    <row r="10" spans="2:8" x14ac:dyDescent="0.35">
      <c r="B10" s="56"/>
    </row>
    <row r="11" spans="2:8" x14ac:dyDescent="0.35">
      <c r="B11" s="57" t="s">
        <v>144</v>
      </c>
    </row>
    <row r="12" spans="2:8" x14ac:dyDescent="0.35">
      <c r="B12" s="57" t="s">
        <v>145</v>
      </c>
    </row>
    <row r="13" spans="2:8" x14ac:dyDescent="0.35">
      <c r="B13" s="57" t="s">
        <v>146</v>
      </c>
    </row>
    <row r="14" spans="2:8" x14ac:dyDescent="0.35">
      <c r="B14" s="57" t="s">
        <v>147</v>
      </c>
    </row>
    <row r="15" spans="2:8" x14ac:dyDescent="0.35">
      <c r="B15" s="56" t="s">
        <v>148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AEC0E-4388-47EC-A662-A5FF2CA2B2F9}">
  <dimension ref="B1:H12"/>
  <sheetViews>
    <sheetView showGridLines="0" workbookViewId="0">
      <selection activeCell="B3" sqref="B3:G7"/>
    </sheetView>
  </sheetViews>
  <sheetFormatPr defaultRowHeight="14.5" x14ac:dyDescent="0.35"/>
  <cols>
    <col min="1" max="1" width="1.81640625" customWidth="1"/>
    <col min="4" max="4" width="14.26953125" bestFit="1" customWidth="1"/>
    <col min="5" max="5" width="20.54296875" bestFit="1" customWidth="1"/>
    <col min="7" max="7" width="10" bestFit="1" customWidth="1"/>
  </cols>
  <sheetData>
    <row r="1" spans="2:8" x14ac:dyDescent="0.35">
      <c r="B1" s="75" t="str">
        <f>"Operating Profit Variance Analysis-"&amp;'Data Sheet'!B1</f>
        <v>Operating Profit Variance Analysis-HINDUSTAN UNILEVER LTD</v>
      </c>
      <c r="C1" s="75"/>
      <c r="D1" s="75"/>
      <c r="E1" s="75"/>
      <c r="F1" s="75"/>
      <c r="G1" s="75"/>
      <c r="H1" s="75"/>
    </row>
    <row r="3" spans="2:8" x14ac:dyDescent="0.35">
      <c r="B3" s="2" t="s">
        <v>39</v>
      </c>
      <c r="D3" s="2" t="s">
        <v>131</v>
      </c>
      <c r="E3" s="2" t="s">
        <v>132</v>
      </c>
      <c r="F3" s="2" t="s">
        <v>115</v>
      </c>
      <c r="G3" s="2" t="s">
        <v>122</v>
      </c>
      <c r="H3" s="2" t="s">
        <v>123</v>
      </c>
    </row>
    <row r="4" spans="2:8" x14ac:dyDescent="0.35">
      <c r="B4" s="53">
        <f>'Revenue Analysis'!B3</f>
        <v>45930</v>
      </c>
      <c r="D4" s="52">
        <f>BMetricudget_VS_Actuales!C7</f>
        <v>3782</v>
      </c>
      <c r="E4" s="52">
        <f>BMetricudget_VS_Actuales!D7</f>
        <v>3742.8926770943344</v>
      </c>
      <c r="F4" s="52">
        <f>D4-E4</f>
        <v>39.107322905665569</v>
      </c>
      <c r="G4" s="32">
        <f>(D4-E4)/E4*1</f>
        <v>1.0448422190941683E-2</v>
      </c>
      <c r="H4" t="str">
        <f>IF(D4&gt;E4,"favorable","Unfavorable")</f>
        <v>favorable</v>
      </c>
    </row>
    <row r="5" spans="2:8" x14ac:dyDescent="0.35">
      <c r="B5" s="53">
        <f>'Revenue Analysis'!B4</f>
        <v>46022</v>
      </c>
      <c r="D5" s="52">
        <f>BMetricudget_VS_Actuales!I7</f>
        <v>3781</v>
      </c>
      <c r="E5" s="52">
        <f>BMetricudget_VS_Actuales!J7</f>
        <v>3770.7289732915415</v>
      </c>
      <c r="F5" s="52">
        <f t="shared" ref="F5:F7" si="0">D5-E5</f>
        <v>10.271026708458521</v>
      </c>
      <c r="G5" s="32">
        <f t="shared" ref="G5:G7" si="1">(D5-E5)/E5*1</f>
        <v>2.7238835729667269E-3</v>
      </c>
      <c r="H5" t="str">
        <f t="shared" ref="H5:H7" si="2">IF(D5&gt;E5,"favorable","Unfavorable")</f>
        <v>favorable</v>
      </c>
    </row>
    <row r="6" spans="2:8" x14ac:dyDescent="0.35">
      <c r="B6" s="53">
        <f>'Revenue Analysis'!B5</f>
        <v>46112</v>
      </c>
      <c r="D6" s="52">
        <f>BMetricudget_VS_Actuales!O7</f>
        <v>3837</v>
      </c>
      <c r="E6" s="52">
        <f>BMetricudget_VS_Actuales!P7</f>
        <v>3798.7722910233806</v>
      </c>
      <c r="F6" s="52">
        <f t="shared" si="0"/>
        <v>38.227708976619397</v>
      </c>
      <c r="G6" s="32">
        <f t="shared" si="1"/>
        <v>1.0063174638541164E-2</v>
      </c>
      <c r="H6" t="str">
        <f t="shared" si="2"/>
        <v>favorable</v>
      </c>
    </row>
    <row r="7" spans="2:8" x14ac:dyDescent="0.35">
      <c r="B7" s="53">
        <f>'Revenue Analysis'!B6</f>
        <v>46203</v>
      </c>
      <c r="D7" s="52">
        <f>BMetricudget_VS_Actuales!U7</f>
        <v>3947</v>
      </c>
      <c r="E7" s="52">
        <f>BMetricudget_VS_Actuales!V7</f>
        <v>3827.0241699313156</v>
      </c>
      <c r="F7" s="52">
        <f t="shared" si="0"/>
        <v>119.97583006868444</v>
      </c>
      <c r="G7" s="32">
        <f t="shared" si="1"/>
        <v>3.134964001830113E-2</v>
      </c>
      <c r="H7" t="str">
        <f t="shared" si="2"/>
        <v>favorable</v>
      </c>
    </row>
    <row r="9" spans="2:8" x14ac:dyDescent="0.35">
      <c r="B9" s="2" t="s">
        <v>133</v>
      </c>
    </row>
    <row r="10" spans="2:8" x14ac:dyDescent="0.35">
      <c r="B10" s="2" t="s">
        <v>134</v>
      </c>
    </row>
    <row r="11" spans="2:8" x14ac:dyDescent="0.35">
      <c r="B11" s="2" t="s">
        <v>135</v>
      </c>
    </row>
    <row r="12" spans="2:8" x14ac:dyDescent="0.35">
      <c r="B12" s="2" t="s">
        <v>136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B59B7-BB69-473B-A914-BA66A49D304A}">
  <dimension ref="B1:H14"/>
  <sheetViews>
    <sheetView showGridLines="0" workbookViewId="0">
      <selection activeCell="B3" sqref="B3:G7"/>
    </sheetView>
  </sheetViews>
  <sheetFormatPr defaultRowHeight="14.5" x14ac:dyDescent="0.35"/>
  <cols>
    <col min="1" max="1" width="1.81640625" customWidth="1"/>
    <col min="4" max="4" width="10.1796875" bestFit="1" customWidth="1"/>
    <col min="5" max="5" width="10.81640625" bestFit="1" customWidth="1"/>
  </cols>
  <sheetData>
    <row r="1" spans="2:8" x14ac:dyDescent="0.35">
      <c r="B1" s="75" t="str">
        <f>"EBIT Variance Analysis-"&amp;'Data Sheet'!B1</f>
        <v>EBIT Variance Analysis-HINDUSTAN UNILEVER LTD</v>
      </c>
      <c r="C1" s="75"/>
      <c r="D1" s="75"/>
      <c r="E1" s="75"/>
      <c r="F1" s="75"/>
      <c r="G1" s="75"/>
      <c r="H1" s="75"/>
    </row>
    <row r="3" spans="2:8" x14ac:dyDescent="0.35">
      <c r="B3" s="2" t="s">
        <v>39</v>
      </c>
      <c r="D3" s="2" t="s">
        <v>137</v>
      </c>
      <c r="E3" s="2" t="s">
        <v>138</v>
      </c>
      <c r="F3" s="2" t="s">
        <v>115</v>
      </c>
      <c r="G3" s="2" t="s">
        <v>122</v>
      </c>
      <c r="H3" s="2" t="s">
        <v>123</v>
      </c>
    </row>
    <row r="4" spans="2:8" x14ac:dyDescent="0.35">
      <c r="B4" s="53">
        <f>'Revenue Analysis'!B3</f>
        <v>45930</v>
      </c>
      <c r="D4" s="52">
        <f>BMetricudget_VS_Actuales!C9</f>
        <v>3460</v>
      </c>
      <c r="E4" s="52">
        <f>BMetricudget_VS_Actuales!D9</f>
        <v>3411.4546414941078</v>
      </c>
      <c r="F4" s="52">
        <f>D4-E4</f>
        <v>48.545358505892182</v>
      </c>
      <c r="G4" s="32">
        <f>(D4-E4)/E4*1</f>
        <v>1.4230105221223421E-2</v>
      </c>
      <c r="H4" t="str">
        <f>IF(D4&gt;E4,"Favorable","UnFavorable")</f>
        <v>Favorable</v>
      </c>
    </row>
    <row r="5" spans="2:8" x14ac:dyDescent="0.35">
      <c r="B5" s="53">
        <f>'Revenue Analysis'!B4</f>
        <v>46022</v>
      </c>
      <c r="D5" s="52">
        <f>BMetricudget_VS_Actuales!I9</f>
        <v>3444</v>
      </c>
      <c r="E5" s="52">
        <f>BMetricudget_VS_Actuales!J9</f>
        <v>3436.8259973027089</v>
      </c>
      <c r="F5" s="52">
        <f t="shared" ref="F5:F7" si="0">D5-E5</f>
        <v>7.1740026972911437</v>
      </c>
      <c r="G5" s="32">
        <f t="shared" ref="G5:G7" si="1">(D5-E5)/E5*1</f>
        <v>2.0873918851060389E-3</v>
      </c>
      <c r="H5" t="str">
        <f t="shared" ref="H5:H7" si="2">IF(D5&gt;E5,"Favorable","UnFavorable")</f>
        <v>Favorable</v>
      </c>
    </row>
    <row r="6" spans="2:8" x14ac:dyDescent="0.35">
      <c r="B6" s="53">
        <f>'Revenue Analysis'!B5</f>
        <v>46112</v>
      </c>
      <c r="D6" s="52">
        <f>BMetricudget_VS_Actuales!O9</f>
        <v>3489</v>
      </c>
      <c r="E6" s="52">
        <f>BMetricudget_VS_Actuales!P9</f>
        <v>3462.3860426186338</v>
      </c>
      <c r="F6" s="52">
        <f t="shared" si="0"/>
        <v>26.613957381366163</v>
      </c>
      <c r="G6" s="32">
        <f t="shared" si="1"/>
        <v>7.6865944622506004E-3</v>
      </c>
      <c r="H6" t="str">
        <f t="shared" si="2"/>
        <v>Favorable</v>
      </c>
    </row>
    <row r="7" spans="2:8" x14ac:dyDescent="0.35">
      <c r="B7" s="53">
        <f>'Revenue Analysis'!B6</f>
        <v>46203</v>
      </c>
      <c r="D7" s="52">
        <f>BMetricudget_VS_Actuales!U9</f>
        <v>3594</v>
      </c>
      <c r="E7" s="52">
        <f>BMetricudget_VS_Actuales!V9</f>
        <v>3488.1361807460853</v>
      </c>
      <c r="F7" s="52">
        <f t="shared" si="0"/>
        <v>105.8638192539147</v>
      </c>
      <c r="G7" s="32">
        <f t="shared" si="1"/>
        <v>3.0349680679975989E-2</v>
      </c>
      <c r="H7" t="str">
        <f t="shared" si="2"/>
        <v>Favorable</v>
      </c>
    </row>
    <row r="9" spans="2:8" ht="17.5" x14ac:dyDescent="0.35">
      <c r="B9" s="55" t="s">
        <v>139</v>
      </c>
    </row>
    <row r="10" spans="2:8" x14ac:dyDescent="0.35">
      <c r="B10" s="56"/>
    </row>
    <row r="11" spans="2:8" x14ac:dyDescent="0.35">
      <c r="B11" s="57" t="s">
        <v>140</v>
      </c>
    </row>
    <row r="12" spans="2:8" x14ac:dyDescent="0.35">
      <c r="B12" s="57" t="s">
        <v>141</v>
      </c>
    </row>
    <row r="13" spans="2:8" x14ac:dyDescent="0.35">
      <c r="B13" s="57" t="s">
        <v>142</v>
      </c>
    </row>
    <row r="14" spans="2:8" x14ac:dyDescent="0.35">
      <c r="B14" s="57" t="s">
        <v>143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8F93D-50CE-43A7-B050-C8E2AE3C9065}">
  <dimension ref="A1:H11"/>
  <sheetViews>
    <sheetView showGridLines="0" workbookViewId="0">
      <selection activeCell="B3" sqref="B3:G7"/>
    </sheetView>
  </sheetViews>
  <sheetFormatPr defaultRowHeight="14.5" x14ac:dyDescent="0.35"/>
  <cols>
    <col min="1" max="1" width="1.81640625" customWidth="1"/>
    <col min="4" max="4" width="18.26953125" bestFit="1" customWidth="1"/>
    <col min="5" max="5" width="18.81640625" bestFit="1" customWidth="1"/>
    <col min="8" max="8" width="11.08984375" bestFit="1" customWidth="1"/>
  </cols>
  <sheetData>
    <row r="1" spans="1:8" x14ac:dyDescent="0.35">
      <c r="A1" s="58"/>
      <c r="B1" s="75" t="str">
        <f>"Other Income Variance Analysis-"&amp;'Data Sheet'!B1</f>
        <v>Other Income Variance Analysis-HINDUSTAN UNILEVER LTD</v>
      </c>
      <c r="C1" s="75"/>
      <c r="D1" s="75"/>
      <c r="E1" s="75"/>
      <c r="F1" s="75"/>
      <c r="G1" s="75"/>
      <c r="H1" s="75"/>
    </row>
    <row r="2" spans="1:8" x14ac:dyDescent="0.35">
      <c r="A2" s="59"/>
    </row>
    <row r="3" spans="1:8" x14ac:dyDescent="0.35">
      <c r="A3" s="59"/>
      <c r="B3" s="2" t="s">
        <v>39</v>
      </c>
      <c r="D3" s="2" t="s">
        <v>149</v>
      </c>
      <c r="E3" s="2" t="s">
        <v>150</v>
      </c>
      <c r="F3" s="2" t="s">
        <v>115</v>
      </c>
      <c r="G3" s="2" t="s">
        <v>122</v>
      </c>
      <c r="H3" s="2" t="s">
        <v>123</v>
      </c>
    </row>
    <row r="4" spans="1:8" x14ac:dyDescent="0.35">
      <c r="A4" s="59"/>
      <c r="B4" s="53">
        <f>'Revenue Analysis'!B3</f>
        <v>45930</v>
      </c>
      <c r="D4" s="52">
        <f>BMetricudget_VS_Actuales!C10</f>
        <v>269</v>
      </c>
      <c r="E4" s="52">
        <f>BMetricudget_VS_Actuales!D10</f>
        <v>290.5879581890386</v>
      </c>
      <c r="F4" s="52">
        <f>D4-E4</f>
        <v>-21.587958189038602</v>
      </c>
      <c r="G4" s="32">
        <f>(D4-E4)/E4*1</f>
        <v>-7.4290615218799969E-2</v>
      </c>
      <c r="H4" t="str">
        <f>IF(D4&gt;E4,"Favorable","Unfavorable")</f>
        <v>Unfavorable</v>
      </c>
    </row>
    <row r="5" spans="1:8" x14ac:dyDescent="0.35">
      <c r="A5" s="59"/>
      <c r="B5" s="53">
        <f>'Revenue Analysis'!B4</f>
        <v>46022</v>
      </c>
      <c r="D5" s="52">
        <f>BMetricudget_VS_Actuales!I10</f>
        <v>4048</v>
      </c>
      <c r="E5" s="52">
        <f>BMetricudget_VS_Actuales!J10</f>
        <v>292.74909214967653</v>
      </c>
      <c r="F5" s="52">
        <f t="shared" ref="F5:F7" si="0">D5-E5</f>
        <v>3755.2509078503235</v>
      </c>
      <c r="G5" s="32">
        <f t="shared" ref="G5:G7" si="1">(D5-E5)/E5*1</f>
        <v>12.827540745814993</v>
      </c>
      <c r="H5" t="str">
        <f t="shared" ref="H5:H7" si="2">IF(D5&gt;E5,"Favorable","Unfavorable")</f>
        <v>Favorable</v>
      </c>
    </row>
    <row r="6" spans="1:8" x14ac:dyDescent="0.35">
      <c r="B6" s="53">
        <f>'Revenue Analysis'!B5</f>
        <v>46112</v>
      </c>
      <c r="D6" s="52">
        <f>BMetricudget_VS_Actuales!O10</f>
        <v>503</v>
      </c>
      <c r="E6" s="52">
        <f>BMetricudget_VS_Actuales!P10</f>
        <v>294.92629869647709</v>
      </c>
      <c r="F6" s="52">
        <f t="shared" si="0"/>
        <v>208.07370130352291</v>
      </c>
      <c r="G6" s="32">
        <f t="shared" si="1"/>
        <v>0.70551084193974034</v>
      </c>
      <c r="H6" t="str">
        <f t="shared" si="2"/>
        <v>Favorable</v>
      </c>
    </row>
    <row r="7" spans="1:8" x14ac:dyDescent="0.35">
      <c r="B7" s="53">
        <f>'Revenue Analysis'!B6</f>
        <v>46203</v>
      </c>
      <c r="D7" s="52">
        <f>BMetricudget_VS_Actuales!U10</f>
        <v>113</v>
      </c>
      <c r="E7" s="52">
        <f>BMetricudget_VS_Actuales!V10</f>
        <v>297.11969736299568</v>
      </c>
      <c r="F7" s="52">
        <f t="shared" si="0"/>
        <v>-184.11969736299568</v>
      </c>
      <c r="G7" s="32">
        <f t="shared" si="1"/>
        <v>-0.61968189587260458</v>
      </c>
      <c r="H7" t="str">
        <f t="shared" si="2"/>
        <v>Unfavorable</v>
      </c>
    </row>
    <row r="9" spans="1:8" ht="17.5" x14ac:dyDescent="0.35">
      <c r="B9" s="55" t="s">
        <v>151</v>
      </c>
    </row>
    <row r="11" spans="1:8" x14ac:dyDescent="0.35">
      <c r="B11" s="2" t="s">
        <v>152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9C265-9734-45AA-9E45-80FEB95519CD}">
  <dimension ref="B1:H15"/>
  <sheetViews>
    <sheetView showGridLines="0" workbookViewId="0">
      <selection activeCell="B3" sqref="B3:G7"/>
    </sheetView>
  </sheetViews>
  <sheetFormatPr defaultRowHeight="14.5" x14ac:dyDescent="0.35"/>
  <cols>
    <col min="1" max="1" width="1.81640625" customWidth="1"/>
    <col min="4" max="4" width="12.1796875" bestFit="1" customWidth="1"/>
    <col min="5" max="5" width="12.90625" bestFit="1" customWidth="1"/>
    <col min="7" max="7" width="10" bestFit="1" customWidth="1"/>
    <col min="8" max="8" width="11.08984375" bestFit="1" customWidth="1"/>
  </cols>
  <sheetData>
    <row r="1" spans="2:8" x14ac:dyDescent="0.35">
      <c r="B1" s="75" t="str">
        <f>"Interest Exp Variance Analysis-"&amp;'Data Sheet'!B1</f>
        <v>Interest Exp Variance Analysis-HINDUSTAN UNILEVER LTD</v>
      </c>
      <c r="C1" s="75"/>
      <c r="D1" s="75"/>
      <c r="E1" s="75"/>
      <c r="F1" s="75"/>
      <c r="G1" s="75"/>
      <c r="H1" s="75"/>
    </row>
    <row r="3" spans="2:8" x14ac:dyDescent="0.35">
      <c r="B3" s="2" t="s">
        <v>39</v>
      </c>
      <c r="D3" s="2" t="s">
        <v>153</v>
      </c>
      <c r="E3" s="2" t="s">
        <v>154</v>
      </c>
      <c r="F3" s="2" t="s">
        <v>115</v>
      </c>
      <c r="G3" s="2" t="s">
        <v>122</v>
      </c>
      <c r="H3" s="2" t="s">
        <v>123</v>
      </c>
    </row>
    <row r="4" spans="2:8" x14ac:dyDescent="0.35">
      <c r="B4" s="53">
        <f>'Revenue Analysis'!B3</f>
        <v>45930</v>
      </c>
      <c r="D4" s="52">
        <f>BMetricudget_VS_Actuales!C11</f>
        <v>124</v>
      </c>
      <c r="E4" s="52">
        <f>BMetricudget_VS_Actuales!D11</f>
        <v>104.63703473642151</v>
      </c>
      <c r="F4" s="52">
        <f>D4-E4</f>
        <v>19.362965263578488</v>
      </c>
      <c r="G4" s="32">
        <f>(D4-E4)/E4*1</f>
        <v>0.18504887215461896</v>
      </c>
      <c r="H4" t="str">
        <f>IF(D4&lt;E4,"Favorable","Unfavorable")</f>
        <v>Unfavorable</v>
      </c>
    </row>
    <row r="5" spans="2:8" x14ac:dyDescent="0.35">
      <c r="B5" s="53">
        <f>'Revenue Analysis'!B4</f>
        <v>46022</v>
      </c>
      <c r="D5" s="52">
        <f>BMetricudget_VS_Actuales!I11</f>
        <v>88</v>
      </c>
      <c r="E5" s="52">
        <f>BMetricudget_VS_Actuales!J11</f>
        <v>105.41523164010125</v>
      </c>
      <c r="F5" s="52">
        <f t="shared" ref="F5:F7" si="0">D5-E5</f>
        <v>-17.415231640101254</v>
      </c>
      <c r="G5" s="32">
        <f t="shared" ref="G5:G7" si="1">(D5-E5)/E5*1</f>
        <v>-0.16520602733728931</v>
      </c>
      <c r="H5" t="str">
        <f t="shared" ref="H5:H7" si="2">IF(D5&lt;E5,"Favorable","Unfavorable")</f>
        <v>Favorable</v>
      </c>
    </row>
    <row r="6" spans="2:8" x14ac:dyDescent="0.35">
      <c r="B6" s="53">
        <f>'Revenue Analysis'!B5</f>
        <v>46112</v>
      </c>
      <c r="D6" s="52">
        <f>BMetricudget_VS_Actuales!O11</f>
        <v>76</v>
      </c>
      <c r="E6" s="52">
        <f>BMetricudget_VS_Actuales!P11</f>
        <v>106.19921607801706</v>
      </c>
      <c r="F6" s="52">
        <f t="shared" si="0"/>
        <v>-30.199216078017059</v>
      </c>
      <c r="G6" s="32">
        <f t="shared" si="1"/>
        <v>-0.28436383236418461</v>
      </c>
      <c r="H6" t="str">
        <f t="shared" si="2"/>
        <v>Favorable</v>
      </c>
    </row>
    <row r="7" spans="2:8" x14ac:dyDescent="0.35">
      <c r="B7" s="53">
        <f>'Revenue Analysis'!B6</f>
        <v>46203</v>
      </c>
      <c r="D7" s="52">
        <f>BMetricudget_VS_Actuales!U11</f>
        <v>75</v>
      </c>
      <c r="E7" s="52">
        <f>BMetricudget_VS_Actuales!V11</f>
        <v>106.98903109268474</v>
      </c>
      <c r="F7" s="52">
        <f t="shared" si="0"/>
        <v>-31.989031092684741</v>
      </c>
      <c r="G7" s="32">
        <f t="shared" si="1"/>
        <v>-0.29899355818048862</v>
      </c>
      <c r="H7" t="str">
        <f t="shared" si="2"/>
        <v>Favorable</v>
      </c>
    </row>
    <row r="8" spans="2:8" x14ac:dyDescent="0.35">
      <c r="G8" s="32"/>
    </row>
    <row r="9" spans="2:8" ht="17.5" x14ac:dyDescent="0.35">
      <c r="B9" s="55" t="s">
        <v>155</v>
      </c>
    </row>
    <row r="10" spans="2:8" x14ac:dyDescent="0.35">
      <c r="B10" s="56"/>
    </row>
    <row r="11" spans="2:8" x14ac:dyDescent="0.35">
      <c r="B11" s="57" t="s">
        <v>156</v>
      </c>
    </row>
    <row r="12" spans="2:8" x14ac:dyDescent="0.35">
      <c r="B12" s="57" t="s">
        <v>157</v>
      </c>
    </row>
    <row r="13" spans="2:8" x14ac:dyDescent="0.35">
      <c r="B13" s="57" t="s">
        <v>158</v>
      </c>
    </row>
    <row r="14" spans="2:8" x14ac:dyDescent="0.35">
      <c r="B14" s="57" t="s">
        <v>159</v>
      </c>
    </row>
    <row r="15" spans="2:8" x14ac:dyDescent="0.35">
      <c r="B15" s="56" t="s">
        <v>160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41303-D6DC-4B56-8DB1-CF9905E961B3}">
  <dimension ref="B1:H14"/>
  <sheetViews>
    <sheetView showGridLines="0" workbookViewId="0">
      <selection activeCell="B3" sqref="B3:G7"/>
    </sheetView>
  </sheetViews>
  <sheetFormatPr defaultRowHeight="14.5" x14ac:dyDescent="0.35"/>
  <cols>
    <col min="1" max="1" width="1.81640625" customWidth="1"/>
    <col min="4" max="4" width="9.6328125" bestFit="1" customWidth="1"/>
    <col min="5" max="5" width="10.26953125" bestFit="1" customWidth="1"/>
    <col min="8" max="8" width="11.08984375" bestFit="1" customWidth="1"/>
  </cols>
  <sheetData>
    <row r="1" spans="2:8" x14ac:dyDescent="0.35">
      <c r="B1" s="75" t="str">
        <f>"EBT Variance Analysis-"&amp;'Data Sheet'!B1</f>
        <v>EBT Variance Analysis-HINDUSTAN UNILEVER LTD</v>
      </c>
      <c r="C1" s="75"/>
      <c r="D1" s="75"/>
      <c r="E1" s="75"/>
      <c r="F1" s="75"/>
      <c r="G1" s="75"/>
      <c r="H1" s="75"/>
    </row>
    <row r="3" spans="2:8" x14ac:dyDescent="0.35">
      <c r="B3" s="2" t="s">
        <v>39</v>
      </c>
      <c r="D3" s="2" t="s">
        <v>161</v>
      </c>
      <c r="E3" s="2" t="s">
        <v>162</v>
      </c>
      <c r="F3" s="2" t="s">
        <v>115</v>
      </c>
      <c r="G3" s="2" t="s">
        <v>122</v>
      </c>
      <c r="H3" s="2" t="s">
        <v>123</v>
      </c>
    </row>
    <row r="4" spans="2:8" x14ac:dyDescent="0.35">
      <c r="B4" s="53">
        <f>'Revenue Analysis'!B3</f>
        <v>45930</v>
      </c>
      <c r="D4" s="52">
        <f>BMetricudget_VS_Actuales!C12</f>
        <v>3605</v>
      </c>
      <c r="E4" s="52">
        <f>BMetricudget_VS_Actuales!D12</f>
        <v>3597.405564946725</v>
      </c>
      <c r="F4" s="52">
        <f>D4-E4</f>
        <v>7.5944350532749922</v>
      </c>
      <c r="G4" s="32">
        <f>(D4-E4)/E4*1</f>
        <v>2.111086702949341E-3</v>
      </c>
      <c r="H4" t="str">
        <f>IF(D4&gt;E4,"Favorable","Unfavorable")</f>
        <v>Favorable</v>
      </c>
    </row>
    <row r="5" spans="2:8" x14ac:dyDescent="0.35">
      <c r="B5" s="53">
        <f>'Revenue Analysis'!B4</f>
        <v>46022</v>
      </c>
      <c r="D5" s="52">
        <f>BMetricudget_VS_Actuales!I12</f>
        <v>7404</v>
      </c>
      <c r="E5" s="52">
        <f>BMetricudget_VS_Actuales!J12</f>
        <v>3624.1598578122839</v>
      </c>
      <c r="F5" s="52">
        <f t="shared" ref="F5:F7" si="0">D5-E5</f>
        <v>3779.8401421877161</v>
      </c>
      <c r="G5" s="32">
        <f t="shared" ref="G5:G7" si="1">(D5-E5)/E5*1</f>
        <v>1.0429562410277917</v>
      </c>
      <c r="H5" t="str">
        <f t="shared" ref="H5:H7" si="2">IF(D5&gt;E5,"Favorable","Unfavorable")</f>
        <v>Favorable</v>
      </c>
    </row>
    <row r="6" spans="2:8" x14ac:dyDescent="0.35">
      <c r="B6" s="53">
        <f>'Revenue Analysis'!B5</f>
        <v>46112</v>
      </c>
      <c r="D6" s="52">
        <f>BMetricudget_VS_Actuales!O12</f>
        <v>3916</v>
      </c>
      <c r="E6" s="52">
        <f>BMetricudget_VS_Actuales!P12</f>
        <v>3651.1131252370942</v>
      </c>
      <c r="F6" s="52">
        <f t="shared" si="0"/>
        <v>264.88687476290579</v>
      </c>
      <c r="G6" s="32">
        <f t="shared" si="1"/>
        <v>7.2549621355735089E-2</v>
      </c>
      <c r="H6" t="str">
        <f t="shared" si="2"/>
        <v>Favorable</v>
      </c>
    </row>
    <row r="7" spans="2:8" x14ac:dyDescent="0.35">
      <c r="B7" s="53">
        <f>'Revenue Analysis'!B6</f>
        <v>46203</v>
      </c>
      <c r="D7" s="52">
        <f>BMetricudget_VS_Actuales!U12</f>
        <v>3632</v>
      </c>
      <c r="E7" s="52">
        <f>BMetricudget_VS_Actuales!V12</f>
        <v>3678.2668470163962</v>
      </c>
      <c r="F7" s="52">
        <f t="shared" si="0"/>
        <v>-46.266847016396241</v>
      </c>
      <c r="G7" s="32">
        <f t="shared" si="1"/>
        <v>-1.2578436785771896E-2</v>
      </c>
      <c r="H7" t="str">
        <f t="shared" si="2"/>
        <v>Unfavorable</v>
      </c>
    </row>
    <row r="9" spans="2:8" ht="17.5" x14ac:dyDescent="0.35">
      <c r="B9" s="55" t="s">
        <v>163</v>
      </c>
    </row>
    <row r="10" spans="2:8" x14ac:dyDescent="0.35">
      <c r="B10" s="56"/>
    </row>
    <row r="11" spans="2:8" x14ac:dyDescent="0.35">
      <c r="B11" s="57" t="s">
        <v>164</v>
      </c>
    </row>
    <row r="12" spans="2:8" x14ac:dyDescent="0.35">
      <c r="B12" s="57" t="s">
        <v>165</v>
      </c>
    </row>
    <row r="13" spans="2:8" x14ac:dyDescent="0.35">
      <c r="B13" s="57" t="s">
        <v>166</v>
      </c>
    </row>
    <row r="14" spans="2:8" x14ac:dyDescent="0.35">
      <c r="B14" s="57" t="s">
        <v>167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5B7DB-B675-4A80-8ED0-2FACD9A026A5}">
  <dimension ref="B1:H16"/>
  <sheetViews>
    <sheetView showGridLines="0" workbookViewId="0">
      <selection activeCell="B3" sqref="B3:G7"/>
    </sheetView>
  </sheetViews>
  <sheetFormatPr defaultRowHeight="14.5" x14ac:dyDescent="0.35"/>
  <cols>
    <col min="1" max="1" width="1.81640625" customWidth="1"/>
    <col min="4" max="4" width="9.81640625" bestFit="1" customWidth="1"/>
    <col min="5" max="5" width="10.453125" bestFit="1" customWidth="1"/>
  </cols>
  <sheetData>
    <row r="1" spans="2:8" x14ac:dyDescent="0.35">
      <c r="B1" s="75" t="str">
        <f>"TAX Variance Analysis-"&amp;'Data Sheet'!B1</f>
        <v>TAX Variance Analysis-HINDUSTAN UNILEVER LTD</v>
      </c>
      <c r="C1" s="75"/>
      <c r="D1" s="75"/>
      <c r="E1" s="75"/>
      <c r="F1" s="75"/>
      <c r="G1" s="75"/>
      <c r="H1" s="75"/>
    </row>
    <row r="3" spans="2:8" x14ac:dyDescent="0.35">
      <c r="B3" s="2" t="s">
        <v>39</v>
      </c>
      <c r="D3" s="2" t="s">
        <v>168</v>
      </c>
      <c r="E3" s="2" t="s">
        <v>169</v>
      </c>
      <c r="F3" s="2" t="s">
        <v>115</v>
      </c>
      <c r="G3" s="2" t="s">
        <v>122</v>
      </c>
      <c r="H3" s="2" t="s">
        <v>123</v>
      </c>
    </row>
    <row r="4" spans="2:8" x14ac:dyDescent="0.35">
      <c r="B4" s="53">
        <f>'Revenue Analysis'!B3</f>
        <v>45930</v>
      </c>
      <c r="D4" s="52">
        <f>BMetricudget_VS_Actuales!C13</f>
        <v>911</v>
      </c>
      <c r="E4" s="52">
        <f>BMetricudget_VS_Actuales!D13</f>
        <v>876.67301372889506</v>
      </c>
      <c r="F4" s="52">
        <f>D4-E4</f>
        <v>34.326986271104943</v>
      </c>
      <c r="G4" s="32">
        <f>(D4-E4)/E4*1</f>
        <v>3.915597461486401E-2</v>
      </c>
      <c r="H4" t="str">
        <f>IF(D4&lt;E4,"Favorable","Unfavorable")</f>
        <v>Unfavorable</v>
      </c>
    </row>
    <row r="5" spans="2:8" x14ac:dyDescent="0.35">
      <c r="B5" s="53">
        <f>'Revenue Analysis'!B4</f>
        <v>46022</v>
      </c>
      <c r="D5" s="52">
        <f>BMetricudget_VS_Actuales!I13</f>
        <v>801</v>
      </c>
      <c r="E5" s="52">
        <f>BMetricudget_VS_Actuales!J13</f>
        <v>883.19292540779463</v>
      </c>
      <c r="F5" s="52">
        <f t="shared" ref="F5:F7" si="0">D5-E5</f>
        <v>-82.192925407794633</v>
      </c>
      <c r="G5" s="32">
        <f t="shared" ref="G5:G7" si="1">(D5-E5)/E5*1</f>
        <v>-9.3063387447135493E-2</v>
      </c>
      <c r="H5" t="str">
        <f t="shared" ref="H5:H7" si="2">IF(D5&lt;E5,"Favorable","Unfavorable")</f>
        <v>Favorable</v>
      </c>
    </row>
    <row r="6" spans="2:8" x14ac:dyDescent="0.35">
      <c r="B6" s="53">
        <f>'Revenue Analysis'!B5</f>
        <v>46112</v>
      </c>
      <c r="D6" s="52">
        <f>BMetricudget_VS_Actuales!O13</f>
        <v>922</v>
      </c>
      <c r="E6" s="52">
        <f>BMetricudget_VS_Actuales!P13</f>
        <v>889.7613263724769</v>
      </c>
      <c r="F6" s="52">
        <f t="shared" si="0"/>
        <v>32.238673627523099</v>
      </c>
      <c r="G6" s="32">
        <f t="shared" si="1"/>
        <v>3.6232945478715001E-2</v>
      </c>
      <c r="H6" t="str">
        <f t="shared" si="2"/>
        <v>Unfavorable</v>
      </c>
    </row>
    <row r="7" spans="2:8" x14ac:dyDescent="0.35">
      <c r="B7" s="53">
        <f>'Revenue Analysis'!B6</f>
        <v>46203</v>
      </c>
      <c r="D7" s="52">
        <f>BMetricudget_VS_Actuales!U13</f>
        <v>952</v>
      </c>
      <c r="E7" s="52">
        <f>BMetricudget_VS_Actuales!V13</f>
        <v>896.37857724298578</v>
      </c>
      <c r="F7" s="52">
        <f t="shared" si="0"/>
        <v>55.621422757014216</v>
      </c>
      <c r="G7" s="32">
        <f t="shared" si="1"/>
        <v>6.2051262902880197E-2</v>
      </c>
      <c r="H7" t="str">
        <f t="shared" si="2"/>
        <v>Unfavorable</v>
      </c>
    </row>
    <row r="9" spans="2:8" ht="17.5" x14ac:dyDescent="0.35">
      <c r="B9" s="55" t="s">
        <v>170</v>
      </c>
    </row>
    <row r="10" spans="2:8" x14ac:dyDescent="0.35">
      <c r="B10" s="56"/>
    </row>
    <row r="11" spans="2:8" x14ac:dyDescent="0.35">
      <c r="B11" s="57" t="s">
        <v>171</v>
      </c>
    </row>
    <row r="12" spans="2:8" x14ac:dyDescent="0.35">
      <c r="B12" s="57" t="s">
        <v>172</v>
      </c>
    </row>
    <row r="13" spans="2:8" x14ac:dyDescent="0.35">
      <c r="B13" s="57" t="s">
        <v>173</v>
      </c>
    </row>
    <row r="14" spans="2:8" x14ac:dyDescent="0.35">
      <c r="B14" s="57" t="s">
        <v>174</v>
      </c>
    </row>
    <row r="16" spans="2:8" x14ac:dyDescent="0.35">
      <c r="B16" s="2" t="s">
        <v>175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04D98-D9C8-4B01-B474-890328F00D2F}">
  <dimension ref="A1:H13"/>
  <sheetViews>
    <sheetView showGridLines="0" workbookViewId="0">
      <selection activeCell="B3" sqref="B3:G7"/>
    </sheetView>
  </sheetViews>
  <sheetFormatPr defaultRowHeight="14.5" x14ac:dyDescent="0.35"/>
  <cols>
    <col min="1" max="1" width="1.81640625" customWidth="1"/>
    <col min="5" max="5" width="9.54296875" bestFit="1" customWidth="1"/>
  </cols>
  <sheetData>
    <row r="1" spans="1:8" x14ac:dyDescent="0.35">
      <c r="A1" t="s">
        <v>176</v>
      </c>
      <c r="B1" s="75" t="str">
        <f>"NP Variance Analysis-"&amp;'Data Sheet'!B1</f>
        <v>NP Variance Analysis-HINDUSTAN UNILEVER LTD</v>
      </c>
      <c r="C1" s="75"/>
      <c r="D1" s="75"/>
      <c r="E1" s="75"/>
      <c r="F1" s="75"/>
      <c r="G1" s="75"/>
      <c r="H1" s="75"/>
    </row>
    <row r="3" spans="1:8" x14ac:dyDescent="0.35">
      <c r="B3" s="2" t="s">
        <v>39</v>
      </c>
      <c r="D3" s="2" t="s">
        <v>177</v>
      </c>
      <c r="E3" s="2" t="s">
        <v>178</v>
      </c>
      <c r="F3" s="2" t="s">
        <v>115</v>
      </c>
      <c r="G3" s="2" t="s">
        <v>122</v>
      </c>
      <c r="H3" s="2" t="s">
        <v>123</v>
      </c>
    </row>
    <row r="4" spans="1:8" x14ac:dyDescent="0.35">
      <c r="B4" s="53">
        <f>'Revenue Analysis'!B3</f>
        <v>45930</v>
      </c>
      <c r="D4" s="52">
        <f>BMetricudget_VS_Actuales!C14</f>
        <v>2694</v>
      </c>
      <c r="E4" s="52">
        <f>BMetricudget_VS_Actuales!D14</f>
        <v>2720.73255121783</v>
      </c>
      <c r="F4" s="52">
        <f>D4-E4</f>
        <v>-26.73255121782995</v>
      </c>
      <c r="G4" s="32">
        <f>(D4-E4)/E4*1</f>
        <v>-9.8254976241101549E-3</v>
      </c>
      <c r="H4" t="str">
        <f>IF(D4&gt;E4,"Favorable","Unfavorable")</f>
        <v>Unfavorable</v>
      </c>
    </row>
    <row r="5" spans="1:8" x14ac:dyDescent="0.35">
      <c r="B5" s="53">
        <f>'Revenue Analysis'!B4</f>
        <v>46022</v>
      </c>
      <c r="D5" s="52">
        <f>BMetricudget_VS_Actuales!I14</f>
        <v>6603</v>
      </c>
      <c r="E5" s="52">
        <f>BMetricudget_VS_Actuales!J14</f>
        <v>2740.9669324044894</v>
      </c>
      <c r="F5" s="52">
        <f t="shared" ref="F5:F7" si="0">D5-E5</f>
        <v>3862.0330675955106</v>
      </c>
      <c r="G5" s="32">
        <f>(D5-E5)/E5*1</f>
        <v>1.4090038890792367</v>
      </c>
      <c r="H5" t="str">
        <f t="shared" ref="H5:H7" si="1">IF(D5&gt;E5,"Favorable","Unfavorable")</f>
        <v>Favorable</v>
      </c>
    </row>
    <row r="6" spans="1:8" x14ac:dyDescent="0.35">
      <c r="B6" s="53">
        <f>'Revenue Analysis'!B5</f>
        <v>46112</v>
      </c>
      <c r="D6" s="52">
        <f>BMetricudget_VS_Actuales!O14</f>
        <v>2994</v>
      </c>
      <c r="E6" s="52">
        <f>BMetricudget_VS_Actuales!P14</f>
        <v>2761.3517988646172</v>
      </c>
      <c r="F6" s="52">
        <f t="shared" si="0"/>
        <v>232.64820113538281</v>
      </c>
      <c r="G6" s="32">
        <f t="shared" ref="G6:G7" si="2">(D6-E6)/E6*1</f>
        <v>8.4251561583366733E-2</v>
      </c>
      <c r="H6" t="str">
        <f t="shared" si="1"/>
        <v>Favorable</v>
      </c>
    </row>
    <row r="7" spans="1:8" x14ac:dyDescent="0.35">
      <c r="B7" s="53">
        <f>'Revenue Analysis'!B6</f>
        <v>46203</v>
      </c>
      <c r="D7" s="52">
        <f>BMetricudget_VS_Actuales!U14</f>
        <v>2680</v>
      </c>
      <c r="E7" s="52">
        <f>BMetricudget_VS_Actuales!V14</f>
        <v>2781.8882697734107</v>
      </c>
      <c r="F7" s="52">
        <f t="shared" si="0"/>
        <v>-101.88826977341068</v>
      </c>
      <c r="G7" s="32">
        <f t="shared" si="2"/>
        <v>-3.6625579424046976E-2</v>
      </c>
      <c r="H7" t="str">
        <f t="shared" si="1"/>
        <v>Unfavorable</v>
      </c>
    </row>
    <row r="8" spans="1:8" ht="17.5" x14ac:dyDescent="0.35">
      <c r="B8" s="55" t="s">
        <v>179</v>
      </c>
    </row>
    <row r="9" spans="1:8" x14ac:dyDescent="0.35">
      <c r="B9" s="56"/>
    </row>
    <row r="10" spans="1:8" x14ac:dyDescent="0.35">
      <c r="B10" s="57" t="s">
        <v>180</v>
      </c>
    </row>
    <row r="11" spans="1:8" x14ac:dyDescent="0.35">
      <c r="B11" s="57" t="s">
        <v>181</v>
      </c>
    </row>
    <row r="12" spans="1:8" x14ac:dyDescent="0.35">
      <c r="B12" s="57" t="s">
        <v>182</v>
      </c>
    </row>
    <row r="13" spans="1:8" x14ac:dyDescent="0.35">
      <c r="B13" s="57" t="s">
        <v>183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9A1F5-1670-4E36-BAC8-99F8004D02FC}">
  <dimension ref="B2:D42"/>
  <sheetViews>
    <sheetView showGridLines="0" topLeftCell="A16" workbookViewId="0">
      <selection activeCell="D19" sqref="D19"/>
    </sheetView>
  </sheetViews>
  <sheetFormatPr defaultRowHeight="14.5" x14ac:dyDescent="0.35"/>
  <cols>
    <col min="1" max="1" width="1.81640625" customWidth="1"/>
    <col min="3" max="3" width="27.1796875" customWidth="1"/>
    <col min="4" max="4" width="42.90625" customWidth="1"/>
  </cols>
  <sheetData>
    <row r="2" spans="2:4" x14ac:dyDescent="0.35">
      <c r="B2" s="74" t="s">
        <v>202</v>
      </c>
      <c r="C2" s="74"/>
      <c r="D2" s="74"/>
    </row>
    <row r="3" spans="2:4" ht="15" thickBot="1" x14ac:dyDescent="0.4"/>
    <row r="4" spans="2:4" ht="15.5" thickTop="1" thickBot="1" x14ac:dyDescent="0.4">
      <c r="B4" s="60" t="s">
        <v>184</v>
      </c>
      <c r="C4" s="60" t="s">
        <v>185</v>
      </c>
      <c r="D4" s="60" t="s">
        <v>186</v>
      </c>
    </row>
    <row r="5" spans="2:4" ht="15" thickBot="1" x14ac:dyDescent="0.4">
      <c r="B5" s="61" t="s">
        <v>111</v>
      </c>
      <c r="C5" s="61" t="s">
        <v>187</v>
      </c>
      <c r="D5" s="61" t="s">
        <v>188</v>
      </c>
    </row>
    <row r="6" spans="2:4" ht="15" thickBot="1" x14ac:dyDescent="0.4">
      <c r="B6" s="61" t="s">
        <v>7</v>
      </c>
      <c r="C6" s="61" t="s">
        <v>187</v>
      </c>
      <c r="D6" s="61" t="s">
        <v>189</v>
      </c>
    </row>
    <row r="7" spans="2:4" ht="29.5" thickBot="1" x14ac:dyDescent="0.4">
      <c r="B7" s="61" t="s">
        <v>8</v>
      </c>
      <c r="C7" s="61" t="s">
        <v>187</v>
      </c>
      <c r="D7" s="61" t="s">
        <v>190</v>
      </c>
    </row>
    <row r="8" spans="2:4" ht="15" thickBot="1" x14ac:dyDescent="0.4">
      <c r="B8" s="61" t="s">
        <v>94</v>
      </c>
      <c r="C8" s="61" t="s">
        <v>187</v>
      </c>
      <c r="D8" s="61" t="s">
        <v>191</v>
      </c>
    </row>
    <row r="9" spans="2:4" ht="29.5" thickBot="1" x14ac:dyDescent="0.4">
      <c r="B9" s="61" t="s">
        <v>9</v>
      </c>
      <c r="C9" s="61" t="s">
        <v>192</v>
      </c>
      <c r="D9" s="61" t="s">
        <v>193</v>
      </c>
    </row>
    <row r="10" spans="2:4" ht="29.5" thickBot="1" x14ac:dyDescent="0.4">
      <c r="B10" s="61" t="s">
        <v>194</v>
      </c>
      <c r="C10" s="61" t="s">
        <v>195</v>
      </c>
      <c r="D10" s="61" t="s">
        <v>196</v>
      </c>
    </row>
    <row r="11" spans="2:4" ht="29.5" thickBot="1" x14ac:dyDescent="0.4">
      <c r="B11" s="61" t="s">
        <v>95</v>
      </c>
      <c r="C11" s="61" t="s">
        <v>197</v>
      </c>
      <c r="D11" s="61" t="s">
        <v>198</v>
      </c>
    </row>
    <row r="12" spans="2:4" ht="29.5" thickBot="1" x14ac:dyDescent="0.4">
      <c r="B12" s="61" t="s">
        <v>13</v>
      </c>
      <c r="C12" s="61" t="s">
        <v>197</v>
      </c>
      <c r="D12" s="61" t="s">
        <v>199</v>
      </c>
    </row>
    <row r="13" spans="2:4" ht="29.5" thickBot="1" x14ac:dyDescent="0.4">
      <c r="B13" s="62" t="s">
        <v>110</v>
      </c>
      <c r="C13" s="62" t="s">
        <v>200</v>
      </c>
      <c r="D13" s="62" t="s">
        <v>201</v>
      </c>
    </row>
    <row r="14" spans="2:4" ht="15" thickTop="1" x14ac:dyDescent="0.35"/>
    <row r="15" spans="2:4" ht="17.5" x14ac:dyDescent="0.35">
      <c r="B15" s="55" t="s">
        <v>203</v>
      </c>
    </row>
    <row r="17" spans="2:2" x14ac:dyDescent="0.35">
      <c r="B17" s="2" t="s">
        <v>204</v>
      </c>
    </row>
    <row r="18" spans="2:2" x14ac:dyDescent="0.35">
      <c r="B18" t="s">
        <v>205</v>
      </c>
    </row>
    <row r="20" spans="2:2" x14ac:dyDescent="0.35">
      <c r="B20" s="2" t="s">
        <v>206</v>
      </c>
    </row>
    <row r="21" spans="2:2" x14ac:dyDescent="0.35">
      <c r="B21" t="s">
        <v>207</v>
      </c>
    </row>
    <row r="23" spans="2:2" x14ac:dyDescent="0.35">
      <c r="B23" s="2" t="s">
        <v>208</v>
      </c>
    </row>
    <row r="24" spans="2:2" x14ac:dyDescent="0.35">
      <c r="B24" t="s">
        <v>209</v>
      </c>
    </row>
    <row r="26" spans="2:2" x14ac:dyDescent="0.35">
      <c r="B26" s="2" t="s">
        <v>210</v>
      </c>
    </row>
    <row r="27" spans="2:2" x14ac:dyDescent="0.35">
      <c r="B27" t="s">
        <v>211</v>
      </c>
    </row>
    <row r="29" spans="2:2" x14ac:dyDescent="0.35">
      <c r="B29" s="2" t="s">
        <v>212</v>
      </c>
    </row>
    <row r="30" spans="2:2" x14ac:dyDescent="0.35">
      <c r="B30" t="s">
        <v>213</v>
      </c>
    </row>
    <row r="32" spans="2:2" x14ac:dyDescent="0.35">
      <c r="B32" s="2" t="s">
        <v>214</v>
      </c>
    </row>
    <row r="33" spans="2:2" x14ac:dyDescent="0.35">
      <c r="B33" t="s">
        <v>215</v>
      </c>
    </row>
    <row r="35" spans="2:2" ht="17.5" x14ac:dyDescent="0.35">
      <c r="B35" s="55" t="s">
        <v>216</v>
      </c>
    </row>
    <row r="36" spans="2:2" x14ac:dyDescent="0.35">
      <c r="B36" s="56"/>
    </row>
    <row r="37" spans="2:2" x14ac:dyDescent="0.35">
      <c r="B37" s="56" t="s">
        <v>217</v>
      </c>
    </row>
    <row r="38" spans="2:2" x14ac:dyDescent="0.35">
      <c r="B38" s="56" t="s">
        <v>218</v>
      </c>
    </row>
    <row r="39" spans="2:2" x14ac:dyDescent="0.35">
      <c r="B39" s="56" t="s">
        <v>219</v>
      </c>
    </row>
    <row r="40" spans="2:2" x14ac:dyDescent="0.35">
      <c r="B40" s="56" t="s">
        <v>220</v>
      </c>
    </row>
    <row r="41" spans="2:2" x14ac:dyDescent="0.35">
      <c r="B41" s="56" t="s">
        <v>221</v>
      </c>
    </row>
    <row r="42" spans="2:2" x14ac:dyDescent="0.35">
      <c r="B42" s="56" t="s">
        <v>222</v>
      </c>
    </row>
  </sheetData>
  <mergeCells count="1">
    <mergeCell ref="B2:D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C2A6E-6D8B-41D4-907B-5799793F52FF}">
  <dimension ref="B1:Y14"/>
  <sheetViews>
    <sheetView showGridLines="0" topLeftCell="D1" zoomScaleNormal="100" workbookViewId="0">
      <selection activeCell="H14" sqref="H14"/>
    </sheetView>
  </sheetViews>
  <sheetFormatPr defaultRowHeight="14.5" x14ac:dyDescent="0.35"/>
  <cols>
    <col min="1" max="1" width="1.81640625" customWidth="1"/>
    <col min="2" max="2" width="14.7265625" bestFit="1" customWidth="1"/>
    <col min="3" max="3" width="9.7265625" bestFit="1" customWidth="1"/>
    <col min="6" max="6" width="10.6328125" customWidth="1"/>
    <col min="7" max="7" width="0.90625" customWidth="1"/>
    <col min="8" max="8" width="14.453125" bestFit="1" customWidth="1"/>
    <col min="9" max="9" width="9.7265625" bestFit="1" customWidth="1"/>
    <col min="13" max="13" width="1" customWidth="1"/>
    <col min="14" max="14" width="15" customWidth="1"/>
    <col min="15" max="15" width="9.81640625" bestFit="1" customWidth="1"/>
    <col min="18" max="18" width="9.54296875" bestFit="1" customWidth="1"/>
    <col min="19" max="19" width="1" customWidth="1"/>
    <col min="20" max="20" width="14.453125" bestFit="1" customWidth="1"/>
    <col min="21" max="21" width="9.7265625" bestFit="1" customWidth="1"/>
  </cols>
  <sheetData>
    <row r="1" spans="2:25" x14ac:dyDescent="0.35">
      <c r="B1" s="75" t="str">
        <f>"Actual vs Budget Variance Analysis-"&amp;'Data Sheet'!B1</f>
        <v>Actual vs Budget Variance Analysis-HINDUSTAN UNILEVER LTD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</row>
    <row r="3" spans="2:25" ht="15" thickBot="1" x14ac:dyDescent="0.4">
      <c r="B3" s="76" t="s">
        <v>112</v>
      </c>
      <c r="C3" s="76"/>
      <c r="D3" s="76"/>
      <c r="E3" s="76"/>
      <c r="F3" s="76"/>
      <c r="H3" s="76" t="s">
        <v>117</v>
      </c>
      <c r="I3" s="76"/>
      <c r="J3" s="76"/>
      <c r="K3" s="76"/>
      <c r="L3" s="76"/>
      <c r="N3" s="76" t="s">
        <v>118</v>
      </c>
      <c r="O3" s="76"/>
      <c r="P3" s="76"/>
      <c r="Q3" s="76"/>
      <c r="R3" s="76"/>
      <c r="T3" s="76" t="s">
        <v>119</v>
      </c>
      <c r="U3" s="76"/>
      <c r="V3" s="76"/>
      <c r="W3" s="76"/>
      <c r="X3" s="76"/>
      <c r="Y3" s="76"/>
    </row>
    <row r="4" spans="2:25" ht="15" thickTop="1" x14ac:dyDescent="0.35">
      <c r="B4" s="2"/>
      <c r="C4" s="2" t="s">
        <v>113</v>
      </c>
      <c r="D4" s="2" t="s">
        <v>114</v>
      </c>
      <c r="E4" s="2" t="s">
        <v>115</v>
      </c>
      <c r="F4" s="2" t="s">
        <v>116</v>
      </c>
      <c r="H4" s="2"/>
      <c r="I4" s="2" t="s">
        <v>113</v>
      </c>
      <c r="J4" s="2" t="s">
        <v>114</v>
      </c>
      <c r="K4" s="2" t="s">
        <v>115</v>
      </c>
      <c r="L4" s="2" t="s">
        <v>116</v>
      </c>
      <c r="N4" s="2"/>
      <c r="O4" s="2" t="s">
        <v>113</v>
      </c>
      <c r="P4" s="2" t="s">
        <v>114</v>
      </c>
      <c r="Q4" s="2" t="s">
        <v>115</v>
      </c>
      <c r="R4" s="2" t="s">
        <v>116</v>
      </c>
      <c r="T4" s="2"/>
      <c r="U4" s="2" t="s">
        <v>113</v>
      </c>
      <c r="V4" s="2" t="s">
        <v>114</v>
      </c>
      <c r="W4" s="2" t="s">
        <v>115</v>
      </c>
      <c r="X4" s="2" t="s">
        <v>116</v>
      </c>
      <c r="Y4" s="2"/>
    </row>
    <row r="5" spans="2:25" x14ac:dyDescent="0.35">
      <c r="B5" s="2" t="s">
        <v>111</v>
      </c>
      <c r="C5" s="52">
        <f>Quarters!H4</f>
        <v>15919</v>
      </c>
      <c r="D5">
        <f>Budgets!C5</f>
        <v>15874.186507073426</v>
      </c>
      <c r="E5" s="52">
        <f>C5-D5</f>
        <v>44.813492926574327</v>
      </c>
      <c r="F5" s="32">
        <f>(C5-D5)/D5*1</f>
        <v>2.8230418551908627E-3</v>
      </c>
      <c r="H5" s="2" t="s">
        <v>111</v>
      </c>
      <c r="I5" s="52">
        <f>Quarters!I4</f>
        <v>16441</v>
      </c>
      <c r="J5">
        <f>Budgets!D5</f>
        <v>15992.24454282871</v>
      </c>
      <c r="K5" s="52">
        <f>I5-J5</f>
        <v>448.75545717128989</v>
      </c>
      <c r="L5" s="32">
        <f>(I5-J5)/J5*1</f>
        <v>2.8060817602524855E-2</v>
      </c>
      <c r="N5" s="2" t="s">
        <v>111</v>
      </c>
      <c r="O5" s="52">
        <f>Quarters!J4</f>
        <v>16351</v>
      </c>
      <c r="P5">
        <f>Budgets!E5</f>
        <v>16111.180588918583</v>
      </c>
      <c r="Q5" s="52">
        <f>O5-P5</f>
        <v>239.81941108141655</v>
      </c>
      <c r="R5" s="39">
        <f>(O5-P5)/P5*1</f>
        <v>1.4885278565269545E-2</v>
      </c>
      <c r="T5" s="2" t="s">
        <v>111</v>
      </c>
      <c r="U5" s="52">
        <f>Quarters!K4</f>
        <v>17341</v>
      </c>
      <c r="V5">
        <f>Budgets!F5</f>
        <v>16231.001175200523</v>
      </c>
      <c r="W5" s="52">
        <f>U5-V5</f>
        <v>1109.998824799477</v>
      </c>
      <c r="X5" s="39">
        <f>(U5-V5)/V5*1</f>
        <v>6.8387575899843636E-2</v>
      </c>
      <c r="Y5" s="2"/>
    </row>
    <row r="6" spans="2:25" x14ac:dyDescent="0.35">
      <c r="B6" s="2" t="s">
        <v>7</v>
      </c>
      <c r="C6" s="52">
        <f>Quarters!H5</f>
        <v>12137</v>
      </c>
      <c r="D6">
        <f>Budgets!C6</f>
        <v>12131.293829979091</v>
      </c>
      <c r="E6" s="52">
        <f t="shared" ref="E6:E13" si="0">C6-D6</f>
        <v>5.7061700209087576</v>
      </c>
      <c r="F6" s="32">
        <f t="shared" ref="F6:F14" si="1">(C6-D6)/D6*1</f>
        <v>4.7036780255108144E-4</v>
      </c>
      <c r="H6" s="2" t="s">
        <v>7</v>
      </c>
      <c r="I6" s="52">
        <f>Quarters!I5</f>
        <v>12660</v>
      </c>
      <c r="J6">
        <f>Budgets!D6</f>
        <v>12221.515569537169</v>
      </c>
      <c r="K6" s="52">
        <f t="shared" ref="K6:K13" si="2">I6-J6</f>
        <v>438.48443046283137</v>
      </c>
      <c r="L6" s="32">
        <f t="shared" ref="L6:L13" si="3">(I6-J6)/J6*1</f>
        <v>3.5878073219967832E-2</v>
      </c>
      <c r="N6" s="2" t="s">
        <v>7</v>
      </c>
      <c r="O6" s="52">
        <f>Quarters!J5</f>
        <v>12514</v>
      </c>
      <c r="P6">
        <f>Budgets!E6</f>
        <v>12312.408297895203</v>
      </c>
      <c r="Q6" s="52">
        <f t="shared" ref="Q6:Q13" si="4">O6-P6</f>
        <v>201.59170210479715</v>
      </c>
      <c r="R6" s="39">
        <f t="shared" ref="R6:R13" si="5">(O6-P6)/P6*1</f>
        <v>1.6373052064823021E-2</v>
      </c>
      <c r="T6" s="2" t="s">
        <v>7</v>
      </c>
      <c r="U6" s="52">
        <f>Quarters!K5</f>
        <v>13394</v>
      </c>
      <c r="V6">
        <f>Budgets!F6</f>
        <v>12403.977005269207</v>
      </c>
      <c r="W6" s="52">
        <f t="shared" ref="W6:W13" si="6">U6-V6</f>
        <v>990.02299473079256</v>
      </c>
      <c r="X6" s="39">
        <f t="shared" ref="X6:X13" si="7">(U6-V6)/V6*1</f>
        <v>7.9814965338151703E-2</v>
      </c>
      <c r="Y6" s="2"/>
    </row>
    <row r="7" spans="2:25" x14ac:dyDescent="0.35">
      <c r="B7" s="2" t="s">
        <v>8</v>
      </c>
      <c r="C7" s="52">
        <f>C5-C6</f>
        <v>3782</v>
      </c>
      <c r="D7">
        <f>Budgets!C7</f>
        <v>3742.8926770943344</v>
      </c>
      <c r="E7" s="52">
        <f t="shared" si="0"/>
        <v>39.107322905665569</v>
      </c>
      <c r="F7" s="32">
        <f t="shared" si="1"/>
        <v>1.0448422190941683E-2</v>
      </c>
      <c r="H7" s="2" t="s">
        <v>8</v>
      </c>
      <c r="I7" s="52">
        <f>I5-I6</f>
        <v>3781</v>
      </c>
      <c r="J7">
        <f>Budgets!D7</f>
        <v>3770.7289732915415</v>
      </c>
      <c r="K7" s="52">
        <f t="shared" si="2"/>
        <v>10.271026708458521</v>
      </c>
      <c r="L7" s="32">
        <f t="shared" si="3"/>
        <v>2.7238835729667269E-3</v>
      </c>
      <c r="N7" s="2" t="s">
        <v>8</v>
      </c>
      <c r="O7" s="52">
        <f>O5-O6</f>
        <v>3837</v>
      </c>
      <c r="P7">
        <f>Budgets!E7</f>
        <v>3798.7722910233806</v>
      </c>
      <c r="Q7" s="52">
        <f t="shared" si="4"/>
        <v>38.227708976619397</v>
      </c>
      <c r="R7" s="39">
        <f t="shared" si="5"/>
        <v>1.0063174638541164E-2</v>
      </c>
      <c r="T7" s="2" t="s">
        <v>8</v>
      </c>
      <c r="U7" s="52">
        <f>U5-U6</f>
        <v>3947</v>
      </c>
      <c r="V7">
        <f>Budgets!F7</f>
        <v>3827.0241699313156</v>
      </c>
      <c r="W7" s="52">
        <f t="shared" si="6"/>
        <v>119.97583006868444</v>
      </c>
      <c r="X7" s="39">
        <f t="shared" si="7"/>
        <v>3.134964001830113E-2</v>
      </c>
      <c r="Y7" s="2"/>
    </row>
    <row r="8" spans="2:25" x14ac:dyDescent="0.35">
      <c r="B8" s="2" t="s">
        <v>10</v>
      </c>
      <c r="C8" s="52">
        <f>Quarters[[#This Row],[Column8]]</f>
        <v>322</v>
      </c>
      <c r="D8">
        <f>Budgets!C8</f>
        <v>331.43803560022656</v>
      </c>
      <c r="E8" s="52">
        <f t="shared" si="0"/>
        <v>-9.4380356002265557</v>
      </c>
      <c r="F8" s="32">
        <f t="shared" si="1"/>
        <v>-2.8476018400044198E-2</v>
      </c>
      <c r="H8" s="2" t="s">
        <v>10</v>
      </c>
      <c r="I8" s="52">
        <f>Quarters!I8</f>
        <v>337</v>
      </c>
      <c r="J8">
        <f>Budgets!D8</f>
        <v>333.90297598883279</v>
      </c>
      <c r="K8" s="52">
        <f t="shared" si="2"/>
        <v>3.0970240111672069</v>
      </c>
      <c r="L8" s="32">
        <f t="shared" si="3"/>
        <v>9.2752213483439736E-3</v>
      </c>
      <c r="N8" s="2" t="s">
        <v>10</v>
      </c>
      <c r="O8" s="52">
        <f>Quarters!J8</f>
        <v>348</v>
      </c>
      <c r="P8">
        <f>Budgets!E8</f>
        <v>336.38624840474654</v>
      </c>
      <c r="Q8" s="52">
        <f t="shared" si="4"/>
        <v>11.613751595253461</v>
      </c>
      <c r="R8" s="39">
        <f t="shared" si="5"/>
        <v>3.4525048661559934E-2</v>
      </c>
      <c r="T8" s="2" t="s">
        <v>10</v>
      </c>
      <c r="U8" s="52">
        <f>Quarters[[#This Row],[Column11]]</f>
        <v>353</v>
      </c>
      <c r="V8">
        <f>Budgets!F8</f>
        <v>338.88798918523048</v>
      </c>
      <c r="W8" s="52">
        <f t="shared" si="6"/>
        <v>14.112010814769519</v>
      </c>
      <c r="X8" s="39">
        <f t="shared" si="7"/>
        <v>4.1642109679656224E-2</v>
      </c>
      <c r="Y8" s="2"/>
    </row>
    <row r="9" spans="2:25" x14ac:dyDescent="0.35">
      <c r="B9" s="2" t="s">
        <v>94</v>
      </c>
      <c r="C9" s="52">
        <f>C7-C8</f>
        <v>3460</v>
      </c>
      <c r="D9">
        <f>Budgets!C9</f>
        <v>3411.4546414941078</v>
      </c>
      <c r="E9" s="52">
        <f t="shared" si="0"/>
        <v>48.545358505892182</v>
      </c>
      <c r="F9" s="32">
        <f t="shared" si="1"/>
        <v>1.4230105221223421E-2</v>
      </c>
      <c r="H9" s="2" t="s">
        <v>94</v>
      </c>
      <c r="I9" s="52">
        <f>I7-I8</f>
        <v>3444</v>
      </c>
      <c r="J9">
        <f>Budgets!D9</f>
        <v>3436.8259973027089</v>
      </c>
      <c r="K9" s="52">
        <f t="shared" si="2"/>
        <v>7.1740026972911437</v>
      </c>
      <c r="L9" s="32">
        <f t="shared" si="3"/>
        <v>2.0873918851060389E-3</v>
      </c>
      <c r="N9" s="2" t="s">
        <v>94</v>
      </c>
      <c r="O9" s="52">
        <f>O7-O8</f>
        <v>3489</v>
      </c>
      <c r="P9">
        <f>Budgets!E9</f>
        <v>3462.3860426186338</v>
      </c>
      <c r="Q9" s="52">
        <f t="shared" si="4"/>
        <v>26.613957381366163</v>
      </c>
      <c r="R9" s="39">
        <f t="shared" si="5"/>
        <v>7.6865944622506004E-3</v>
      </c>
      <c r="T9" s="2" t="s">
        <v>94</v>
      </c>
      <c r="U9" s="52">
        <f>U7-U8</f>
        <v>3594</v>
      </c>
      <c r="V9">
        <f>Budgets!F9</f>
        <v>3488.1361807460853</v>
      </c>
      <c r="W9" s="52">
        <f t="shared" si="6"/>
        <v>105.8638192539147</v>
      </c>
      <c r="X9" s="39">
        <f t="shared" si="7"/>
        <v>3.0349680679975989E-2</v>
      </c>
      <c r="Y9" s="2"/>
    </row>
    <row r="10" spans="2:25" x14ac:dyDescent="0.35">
      <c r="B10" s="2" t="s">
        <v>9</v>
      </c>
      <c r="C10" s="52">
        <f>Quarters!H7</f>
        <v>269</v>
      </c>
      <c r="D10">
        <f>Budgets!C10</f>
        <v>290.5879581890386</v>
      </c>
      <c r="E10" s="52">
        <f t="shared" si="0"/>
        <v>-21.587958189038602</v>
      </c>
      <c r="F10" s="32">
        <f t="shared" si="1"/>
        <v>-7.4290615218799969E-2</v>
      </c>
      <c r="H10" s="2" t="s">
        <v>9</v>
      </c>
      <c r="I10" s="52">
        <f>Quarters!I7</f>
        <v>4048</v>
      </c>
      <c r="J10">
        <f>Budgets!D10</f>
        <v>292.74909214967653</v>
      </c>
      <c r="K10" s="52">
        <f t="shared" si="2"/>
        <v>3755.2509078503235</v>
      </c>
      <c r="L10" s="32">
        <f t="shared" si="3"/>
        <v>12.827540745814993</v>
      </c>
      <c r="N10" s="2" t="s">
        <v>9</v>
      </c>
      <c r="O10" s="52">
        <f>Quarters!J7</f>
        <v>503</v>
      </c>
      <c r="P10">
        <f>Budgets!E10</f>
        <v>294.92629869647709</v>
      </c>
      <c r="Q10" s="52">
        <f t="shared" si="4"/>
        <v>208.07370130352291</v>
      </c>
      <c r="R10" s="39">
        <f t="shared" si="5"/>
        <v>0.70551084193974034</v>
      </c>
      <c r="T10" s="2" t="s">
        <v>9</v>
      </c>
      <c r="U10" s="52">
        <f>Quarters!K7</f>
        <v>113</v>
      </c>
      <c r="V10">
        <f>Budgets!F10</f>
        <v>297.11969736299568</v>
      </c>
      <c r="W10" s="52">
        <f t="shared" si="6"/>
        <v>-184.11969736299568</v>
      </c>
      <c r="X10" s="39">
        <f t="shared" si="7"/>
        <v>-0.61968189587260458</v>
      </c>
      <c r="Y10" s="2"/>
    </row>
    <row r="11" spans="2:25" x14ac:dyDescent="0.35">
      <c r="B11" s="2" t="s">
        <v>11</v>
      </c>
      <c r="C11" s="52">
        <f>Quarters!H9</f>
        <v>124</v>
      </c>
      <c r="D11">
        <f>Budgets!C11</f>
        <v>104.63703473642151</v>
      </c>
      <c r="E11" s="52">
        <f t="shared" si="0"/>
        <v>19.362965263578488</v>
      </c>
      <c r="F11" s="32">
        <f t="shared" si="1"/>
        <v>0.18504887215461896</v>
      </c>
      <c r="H11" s="2" t="s">
        <v>11</v>
      </c>
      <c r="I11" s="52">
        <f>Quarters!I9</f>
        <v>88</v>
      </c>
      <c r="J11">
        <f>Budgets!D11</f>
        <v>105.41523164010125</v>
      </c>
      <c r="K11" s="52">
        <f t="shared" si="2"/>
        <v>-17.415231640101254</v>
      </c>
      <c r="L11" s="32">
        <f t="shared" si="3"/>
        <v>-0.16520602733728931</v>
      </c>
      <c r="N11" s="2" t="s">
        <v>11</v>
      </c>
      <c r="O11" s="52">
        <f>Quarters!J9</f>
        <v>76</v>
      </c>
      <c r="P11">
        <f>Budgets!E11</f>
        <v>106.19921607801706</v>
      </c>
      <c r="Q11" s="52">
        <f t="shared" si="4"/>
        <v>-30.199216078017059</v>
      </c>
      <c r="R11" s="39">
        <f t="shared" si="5"/>
        <v>-0.28436383236418461</v>
      </c>
      <c r="T11" s="2" t="s">
        <v>11</v>
      </c>
      <c r="U11" s="52">
        <f>Quarters!K9</f>
        <v>75</v>
      </c>
      <c r="V11">
        <f>Budgets!F11</f>
        <v>106.98903109268474</v>
      </c>
      <c r="W11" s="52">
        <f t="shared" si="6"/>
        <v>-31.989031092684741</v>
      </c>
      <c r="X11" s="39">
        <f t="shared" si="7"/>
        <v>-0.29899355818048862</v>
      </c>
      <c r="Y11" s="2"/>
    </row>
    <row r="12" spans="2:25" x14ac:dyDescent="0.35">
      <c r="B12" s="2" t="s">
        <v>95</v>
      </c>
      <c r="C12" s="52">
        <f>(C9+C10)-C11</f>
        <v>3605</v>
      </c>
      <c r="D12">
        <f>Budgets!C12</f>
        <v>3597.405564946725</v>
      </c>
      <c r="E12" s="52">
        <f t="shared" si="0"/>
        <v>7.5944350532749922</v>
      </c>
      <c r="F12" s="32">
        <f t="shared" si="1"/>
        <v>2.111086702949341E-3</v>
      </c>
      <c r="H12" s="2" t="s">
        <v>95</v>
      </c>
      <c r="I12" s="52">
        <f>(I9+I10)-I11</f>
        <v>7404</v>
      </c>
      <c r="J12">
        <f>Budgets!D12</f>
        <v>3624.1598578122839</v>
      </c>
      <c r="K12" s="52">
        <f t="shared" si="2"/>
        <v>3779.8401421877161</v>
      </c>
      <c r="L12" s="32">
        <f t="shared" si="3"/>
        <v>1.0429562410277917</v>
      </c>
      <c r="N12" s="2" t="s">
        <v>95</v>
      </c>
      <c r="O12" s="52">
        <f>(O9+O10)-O11</f>
        <v>3916</v>
      </c>
      <c r="P12">
        <f>Budgets!E12</f>
        <v>3651.1131252370942</v>
      </c>
      <c r="Q12" s="52">
        <f t="shared" si="4"/>
        <v>264.88687476290579</v>
      </c>
      <c r="R12" s="39">
        <f t="shared" si="5"/>
        <v>7.2549621355735089E-2</v>
      </c>
      <c r="T12" s="2" t="s">
        <v>95</v>
      </c>
      <c r="U12" s="52">
        <f>(U9+U10)-U11</f>
        <v>3632</v>
      </c>
      <c r="V12">
        <f>Budgets!F12</f>
        <v>3678.2668470163962</v>
      </c>
      <c r="W12" s="52">
        <f t="shared" si="6"/>
        <v>-46.266847016396241</v>
      </c>
      <c r="X12" s="39">
        <f t="shared" si="7"/>
        <v>-1.2578436785771896E-2</v>
      </c>
      <c r="Y12" s="2"/>
    </row>
    <row r="13" spans="2:25" x14ac:dyDescent="0.35">
      <c r="B13" s="2" t="s">
        <v>13</v>
      </c>
      <c r="C13" s="52">
        <f>Quarters!H11</f>
        <v>911</v>
      </c>
      <c r="D13">
        <f>Budgets!C13</f>
        <v>876.67301372889506</v>
      </c>
      <c r="E13" s="52">
        <f t="shared" si="0"/>
        <v>34.326986271104943</v>
      </c>
      <c r="F13" s="32">
        <f t="shared" si="1"/>
        <v>3.915597461486401E-2</v>
      </c>
      <c r="H13" s="2" t="s">
        <v>13</v>
      </c>
      <c r="I13" s="52">
        <f>Quarters!I11</f>
        <v>801</v>
      </c>
      <c r="J13">
        <f>Budgets!D13</f>
        <v>883.19292540779463</v>
      </c>
      <c r="K13" s="52">
        <f t="shared" si="2"/>
        <v>-82.192925407794633</v>
      </c>
      <c r="L13" s="32">
        <f t="shared" si="3"/>
        <v>-9.3063387447135493E-2</v>
      </c>
      <c r="N13" s="2" t="s">
        <v>13</v>
      </c>
      <c r="O13" s="52">
        <f>Quarters!J11</f>
        <v>922</v>
      </c>
      <c r="P13">
        <f>Budgets!E13</f>
        <v>889.7613263724769</v>
      </c>
      <c r="Q13" s="52">
        <f t="shared" si="4"/>
        <v>32.238673627523099</v>
      </c>
      <c r="R13" s="39">
        <f t="shared" si="5"/>
        <v>3.6232945478715001E-2</v>
      </c>
      <c r="T13" s="2" t="s">
        <v>13</v>
      </c>
      <c r="U13" s="52">
        <f>Quarters!K11</f>
        <v>952</v>
      </c>
      <c r="V13">
        <f>Budgets!F13</f>
        <v>896.37857724298578</v>
      </c>
      <c r="W13" s="52">
        <f t="shared" si="6"/>
        <v>55.621422757014216</v>
      </c>
      <c r="X13" s="39">
        <f t="shared" si="7"/>
        <v>6.2051262902880197E-2</v>
      </c>
      <c r="Y13" s="2"/>
    </row>
    <row r="14" spans="2:25" x14ac:dyDescent="0.35">
      <c r="B14" s="2" t="s">
        <v>110</v>
      </c>
      <c r="C14" s="52">
        <f>C12-C13</f>
        <v>2694</v>
      </c>
      <c r="D14">
        <f>Budgets!C14</f>
        <v>2720.73255121783</v>
      </c>
      <c r="E14" s="52">
        <f>C14-D14</f>
        <v>-26.73255121782995</v>
      </c>
      <c r="F14" s="32">
        <f t="shared" si="1"/>
        <v>-9.8254976241101549E-3</v>
      </c>
      <c r="H14" s="2" t="s">
        <v>110</v>
      </c>
      <c r="I14" s="52">
        <f>I12-I13</f>
        <v>6603</v>
      </c>
      <c r="J14">
        <f>Budgets!D14</f>
        <v>2740.9669324044894</v>
      </c>
      <c r="K14" s="52">
        <f>I14-J14</f>
        <v>3862.0330675955106</v>
      </c>
      <c r="L14" s="32">
        <f>(I14-J14)/J14*1</f>
        <v>1.4090038890792367</v>
      </c>
      <c r="N14" s="2" t="s">
        <v>110</v>
      </c>
      <c r="O14" s="52">
        <f>O12-O13</f>
        <v>2994</v>
      </c>
      <c r="P14">
        <f>Budgets!E14</f>
        <v>2761.3517988646172</v>
      </c>
      <c r="Q14" s="52">
        <f>O14-P14</f>
        <v>232.64820113538281</v>
      </c>
      <c r="R14" s="39">
        <f>(O14-P14)/P14*1</f>
        <v>8.4251561583366733E-2</v>
      </c>
      <c r="T14" s="2" t="s">
        <v>110</v>
      </c>
      <c r="U14" s="52">
        <f>U12-U13</f>
        <v>2680</v>
      </c>
      <c r="V14">
        <f>Budgets!F14</f>
        <v>2781.8882697734107</v>
      </c>
      <c r="W14" s="52">
        <f>U14-V14</f>
        <v>-101.88826977341068</v>
      </c>
      <c r="X14" s="39">
        <f>(U14-V14)/V14*1</f>
        <v>-3.6625579424046976E-2</v>
      </c>
      <c r="Y14" s="2"/>
    </row>
  </sheetData>
  <mergeCells count="5">
    <mergeCell ref="T3:Y3"/>
    <mergeCell ref="B1:X1"/>
    <mergeCell ref="B3:F3"/>
    <mergeCell ref="H3:L3"/>
    <mergeCell ref="N3:R3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93CAB-52D6-4E83-B774-70469C6767A0}">
  <dimension ref="B3:W18"/>
  <sheetViews>
    <sheetView showGridLines="0" topLeftCell="G1" workbookViewId="0">
      <selection activeCell="G23" sqref="G23"/>
    </sheetView>
  </sheetViews>
  <sheetFormatPr defaultRowHeight="14.5" x14ac:dyDescent="0.35"/>
  <cols>
    <col min="1" max="1" width="1.81640625" customWidth="1"/>
    <col min="3" max="3" width="8.54296875" bestFit="1" customWidth="1"/>
    <col min="4" max="4" width="9.54296875" bestFit="1" customWidth="1"/>
    <col min="5" max="5" width="7.81640625" bestFit="1" customWidth="1"/>
    <col min="6" max="6" width="9.54296875" bestFit="1" customWidth="1"/>
    <col min="7" max="7" width="7.81640625" bestFit="1" customWidth="1"/>
    <col min="15" max="15" width="9.7265625" bestFit="1" customWidth="1"/>
  </cols>
  <sheetData>
    <row r="3" spans="2:23" ht="8.5" customHeight="1" x14ac:dyDescent="0.35"/>
    <row r="10" spans="2:23" ht="42" x14ac:dyDescent="0.35">
      <c r="B10" s="63" t="s">
        <v>223</v>
      </c>
      <c r="C10" s="63" t="s">
        <v>224</v>
      </c>
      <c r="D10" s="63" t="s">
        <v>6</v>
      </c>
      <c r="E10" s="63" t="s">
        <v>22</v>
      </c>
      <c r="F10" s="63" t="s">
        <v>7</v>
      </c>
      <c r="G10" s="63" t="s">
        <v>225</v>
      </c>
      <c r="H10" s="63" t="s">
        <v>226</v>
      </c>
      <c r="I10" s="63" t="s">
        <v>227</v>
      </c>
      <c r="J10" s="63" t="s">
        <v>10</v>
      </c>
      <c r="K10" s="63" t="s">
        <v>228</v>
      </c>
      <c r="L10" s="63" t="s">
        <v>94</v>
      </c>
      <c r="M10" s="63" t="s">
        <v>229</v>
      </c>
      <c r="N10" s="63" t="s">
        <v>9</v>
      </c>
      <c r="O10" s="63" t="s">
        <v>230</v>
      </c>
      <c r="P10" s="63" t="s">
        <v>11</v>
      </c>
      <c r="Q10" s="63" t="s">
        <v>231</v>
      </c>
      <c r="R10" s="63" t="s">
        <v>95</v>
      </c>
      <c r="S10" s="63" t="s">
        <v>232</v>
      </c>
      <c r="T10" s="63" t="s">
        <v>233</v>
      </c>
      <c r="U10" s="63" t="s">
        <v>234</v>
      </c>
      <c r="V10" s="63" t="s">
        <v>110</v>
      </c>
      <c r="W10" s="63" t="s">
        <v>235</v>
      </c>
    </row>
    <row r="11" spans="2:23" x14ac:dyDescent="0.35">
      <c r="B11" s="64">
        <v>1</v>
      </c>
      <c r="C11" s="64" t="s">
        <v>236</v>
      </c>
      <c r="D11" s="65">
        <v>15919</v>
      </c>
      <c r="E11" s="66" t="s">
        <v>96</v>
      </c>
      <c r="F11" s="65">
        <v>12137</v>
      </c>
      <c r="G11" s="66" t="s">
        <v>96</v>
      </c>
      <c r="H11" s="65">
        <v>3782</v>
      </c>
      <c r="I11" s="66" t="s">
        <v>96</v>
      </c>
      <c r="J11" s="65">
        <v>322</v>
      </c>
      <c r="K11" s="66" t="s">
        <v>96</v>
      </c>
      <c r="L11" s="65">
        <v>3460</v>
      </c>
      <c r="M11" s="66" t="s">
        <v>96</v>
      </c>
      <c r="N11" s="65">
        <v>269</v>
      </c>
      <c r="O11" s="66" t="s">
        <v>96</v>
      </c>
      <c r="P11" s="65">
        <v>124</v>
      </c>
      <c r="Q11" s="66" t="s">
        <v>96</v>
      </c>
      <c r="R11" s="65">
        <v>3605</v>
      </c>
      <c r="S11" s="66" t="s">
        <v>96</v>
      </c>
      <c r="T11" s="65">
        <v>911</v>
      </c>
      <c r="U11" s="66" t="s">
        <v>96</v>
      </c>
      <c r="V11" s="65">
        <v>2694</v>
      </c>
      <c r="W11" s="66" t="s">
        <v>96</v>
      </c>
    </row>
    <row r="12" spans="2:23" x14ac:dyDescent="0.35">
      <c r="B12" s="64">
        <v>2</v>
      </c>
      <c r="C12" s="64" t="s">
        <v>237</v>
      </c>
      <c r="D12" s="65">
        <v>16441</v>
      </c>
      <c r="E12" s="67">
        <v>3.2791004460079202E-2</v>
      </c>
      <c r="F12" s="65">
        <v>12660</v>
      </c>
      <c r="G12" s="67">
        <v>4.3091373486034402E-2</v>
      </c>
      <c r="H12" s="65">
        <v>3781</v>
      </c>
      <c r="I12" s="67">
        <v>-2.6441036488630398E-4</v>
      </c>
      <c r="J12" s="65">
        <v>337</v>
      </c>
      <c r="K12" s="67">
        <v>4.6583850931677002E-2</v>
      </c>
      <c r="L12" s="65">
        <v>3444</v>
      </c>
      <c r="M12" s="67">
        <v>-4.6242774566474E-3</v>
      </c>
      <c r="N12" s="65">
        <v>4048</v>
      </c>
      <c r="O12" s="67">
        <v>14.048327137546501</v>
      </c>
      <c r="P12" s="65">
        <v>88</v>
      </c>
      <c r="Q12" s="67">
        <v>-0.29032258064516098</v>
      </c>
      <c r="R12" s="65">
        <v>7404</v>
      </c>
      <c r="S12" s="67">
        <v>1.05381414701803</v>
      </c>
      <c r="T12" s="65">
        <v>801</v>
      </c>
      <c r="U12" s="67">
        <v>-0.120746432491767</v>
      </c>
      <c r="V12" s="65">
        <v>6603</v>
      </c>
      <c r="W12" s="67">
        <v>1.45100222717149</v>
      </c>
    </row>
    <row r="13" spans="2:23" x14ac:dyDescent="0.35">
      <c r="B13" s="64">
        <v>3</v>
      </c>
      <c r="C13" s="64" t="s">
        <v>238</v>
      </c>
      <c r="D13" s="65">
        <v>16351</v>
      </c>
      <c r="E13" s="67">
        <v>-5.4741195791010297E-3</v>
      </c>
      <c r="F13" s="65">
        <v>12514</v>
      </c>
      <c r="G13" s="67">
        <v>-1.15323854660348E-2</v>
      </c>
      <c r="H13" s="65">
        <v>3837</v>
      </c>
      <c r="I13" s="67">
        <v>1.4810896588204199E-2</v>
      </c>
      <c r="J13" s="65">
        <v>348</v>
      </c>
      <c r="K13" s="67">
        <v>3.2640949554896097E-2</v>
      </c>
      <c r="L13" s="65">
        <v>3489</v>
      </c>
      <c r="M13" s="67">
        <v>1.30662020905923E-2</v>
      </c>
      <c r="N13" s="65">
        <v>503</v>
      </c>
      <c r="O13" s="67">
        <v>-0.875741106719368</v>
      </c>
      <c r="P13" s="65">
        <v>76</v>
      </c>
      <c r="Q13" s="67">
        <v>-0.13636363636363599</v>
      </c>
      <c r="R13" s="65">
        <v>3916</v>
      </c>
      <c r="S13" s="67">
        <v>-0.47109670448406299</v>
      </c>
      <c r="T13" s="65">
        <v>922</v>
      </c>
      <c r="U13" s="67">
        <v>0.15106117353308399</v>
      </c>
      <c r="V13" s="65">
        <v>2994</v>
      </c>
      <c r="W13" s="67">
        <v>-0.546569741026806</v>
      </c>
    </row>
    <row r="14" spans="2:23" x14ac:dyDescent="0.35">
      <c r="B14" s="64">
        <v>4</v>
      </c>
      <c r="C14" s="64" t="s">
        <v>239</v>
      </c>
      <c r="D14" s="65">
        <v>17341</v>
      </c>
      <c r="E14" s="67">
        <v>6.0546755550119298E-2</v>
      </c>
      <c r="F14" s="65">
        <v>13394</v>
      </c>
      <c r="G14" s="67">
        <v>7.0321240210963698E-2</v>
      </c>
      <c r="H14" s="65">
        <v>3947</v>
      </c>
      <c r="I14" s="67">
        <v>2.8668230388324199E-2</v>
      </c>
      <c r="J14" s="65">
        <v>353</v>
      </c>
      <c r="K14" s="67">
        <v>1.4367816091954E-2</v>
      </c>
      <c r="L14" s="65">
        <v>3594</v>
      </c>
      <c r="M14" s="67">
        <v>3.00945829750645E-2</v>
      </c>
      <c r="N14" s="65">
        <v>113</v>
      </c>
      <c r="O14" s="67">
        <v>-0.77534791252485102</v>
      </c>
      <c r="P14" s="65">
        <v>75</v>
      </c>
      <c r="Q14" s="67">
        <v>-1.3157894736842099E-2</v>
      </c>
      <c r="R14" s="65">
        <v>3632</v>
      </c>
      <c r="S14" s="67">
        <v>-7.2522982635342195E-2</v>
      </c>
      <c r="T14" s="65">
        <v>952</v>
      </c>
      <c r="U14" s="67">
        <v>3.2537960954446901E-2</v>
      </c>
      <c r="V14" s="65">
        <v>2680</v>
      </c>
      <c r="W14" s="67">
        <v>-0.104876419505678</v>
      </c>
    </row>
    <row r="15" spans="2:23" x14ac:dyDescent="0.35">
      <c r="B15" s="68">
        <v>5</v>
      </c>
      <c r="C15" s="68" t="s">
        <v>240</v>
      </c>
      <c r="D15" s="69">
        <v>17557</v>
      </c>
      <c r="E15" s="70">
        <v>1.24560290640678E-2</v>
      </c>
      <c r="F15" s="69">
        <v>13582.5</v>
      </c>
      <c r="G15" s="70">
        <v>1.4073465730924301E-2</v>
      </c>
      <c r="H15" s="69">
        <v>3974.5</v>
      </c>
      <c r="I15" s="70">
        <v>6.9673169495819602E-3</v>
      </c>
      <c r="J15" s="69">
        <v>366</v>
      </c>
      <c r="K15" s="70">
        <v>3.6827195467422101E-2</v>
      </c>
      <c r="L15" s="69">
        <v>3608.5</v>
      </c>
      <c r="M15" s="70">
        <v>4.0345019476905998E-3</v>
      </c>
      <c r="N15" s="69">
        <v>295</v>
      </c>
      <c r="O15" s="70">
        <v>1.6106194690265501</v>
      </c>
      <c r="P15" s="69">
        <v>79.67</v>
      </c>
      <c r="Q15" s="70">
        <v>6.2266666666666699E-2</v>
      </c>
      <c r="R15" s="69">
        <v>3823.83</v>
      </c>
      <c r="S15" s="70">
        <v>5.2816629955947103E-2</v>
      </c>
      <c r="T15" s="69">
        <v>955.96</v>
      </c>
      <c r="U15" s="70">
        <v>4.1596638655462597E-3</v>
      </c>
      <c r="V15" s="69">
        <v>2867.88</v>
      </c>
      <c r="W15" s="70">
        <v>7.0104477611940302E-2</v>
      </c>
    </row>
    <row r="16" spans="2:23" x14ac:dyDescent="0.35">
      <c r="B16" s="68">
        <v>6</v>
      </c>
      <c r="C16" s="68" t="s">
        <v>241</v>
      </c>
      <c r="D16" s="69">
        <v>17974.599999999999</v>
      </c>
      <c r="E16" s="70">
        <v>2.3785384746824501E-2</v>
      </c>
      <c r="F16" s="69">
        <v>13945</v>
      </c>
      <c r="G16" s="70">
        <v>2.6688753911282899E-2</v>
      </c>
      <c r="H16" s="69">
        <v>4029.6</v>
      </c>
      <c r="I16" s="70">
        <v>1.3863379041388801E-2</v>
      </c>
      <c r="J16" s="69">
        <v>376.4</v>
      </c>
      <c r="K16" s="70">
        <v>2.8415300546447999E-2</v>
      </c>
      <c r="L16" s="69">
        <v>3653.2</v>
      </c>
      <c r="M16" s="70">
        <v>1.2387418594984E-2</v>
      </c>
      <c r="N16" s="69">
        <v>295</v>
      </c>
      <c r="O16" s="70">
        <v>0</v>
      </c>
      <c r="P16" s="69">
        <v>79.67</v>
      </c>
      <c r="Q16" s="70">
        <v>0</v>
      </c>
      <c r="R16" s="69">
        <v>3868.53</v>
      </c>
      <c r="S16" s="70">
        <v>1.16898502286975E-2</v>
      </c>
      <c r="T16" s="69">
        <v>967.13</v>
      </c>
      <c r="U16" s="70">
        <v>1.16845893133603E-2</v>
      </c>
      <c r="V16" s="69">
        <v>2901.4</v>
      </c>
      <c r="W16" s="70">
        <v>1.16880762096043E-2</v>
      </c>
    </row>
    <row r="17" spans="2:23" x14ac:dyDescent="0.35">
      <c r="B17" s="68">
        <v>7</v>
      </c>
      <c r="C17" s="68" t="s">
        <v>242</v>
      </c>
      <c r="D17" s="69">
        <v>18392.2</v>
      </c>
      <c r="E17" s="70">
        <v>2.32327840397006E-2</v>
      </c>
      <c r="F17" s="69">
        <v>14307.5</v>
      </c>
      <c r="G17" s="70">
        <v>2.59949802796701E-2</v>
      </c>
      <c r="H17" s="69">
        <v>4084.7</v>
      </c>
      <c r="I17" s="70">
        <v>1.36738137780425E-2</v>
      </c>
      <c r="J17" s="69">
        <v>386.8</v>
      </c>
      <c r="K17" s="70">
        <v>2.7630180658873599E-2</v>
      </c>
      <c r="L17" s="69">
        <v>3697.9</v>
      </c>
      <c r="M17" s="70">
        <v>1.2235848023650599E-2</v>
      </c>
      <c r="N17" s="69">
        <v>295</v>
      </c>
      <c r="O17" s="70">
        <v>0</v>
      </c>
      <c r="P17" s="69">
        <v>79.67</v>
      </c>
      <c r="Q17" s="70">
        <v>0</v>
      </c>
      <c r="R17" s="69">
        <v>3913.23</v>
      </c>
      <c r="S17" s="70">
        <v>1.1554776620576799E-2</v>
      </c>
      <c r="T17" s="69">
        <v>978.31</v>
      </c>
      <c r="U17" s="70">
        <v>1.15599764250927E-2</v>
      </c>
      <c r="V17" s="69">
        <v>2934.93</v>
      </c>
      <c r="W17" s="70">
        <v>1.1556489970358999E-2</v>
      </c>
    </row>
    <row r="18" spans="2:23" x14ac:dyDescent="0.35">
      <c r="B18" s="68">
        <v>8</v>
      </c>
      <c r="C18" s="68" t="s">
        <v>243</v>
      </c>
      <c r="D18" s="69">
        <v>18809.8</v>
      </c>
      <c r="E18" s="70">
        <v>2.2705277237089601E-2</v>
      </c>
      <c r="F18" s="69">
        <v>14670</v>
      </c>
      <c r="G18" s="70">
        <v>2.5336362047876999E-2</v>
      </c>
      <c r="H18" s="69">
        <v>4139.8</v>
      </c>
      <c r="I18" s="70">
        <v>1.3489362743898101E-2</v>
      </c>
      <c r="J18" s="69">
        <v>397.2</v>
      </c>
      <c r="K18" s="70">
        <v>2.6887280248190201E-2</v>
      </c>
      <c r="L18" s="69">
        <v>3742.6</v>
      </c>
      <c r="M18" s="70">
        <v>1.20879418048081E-2</v>
      </c>
      <c r="N18" s="69">
        <v>295</v>
      </c>
      <c r="O18" s="70">
        <v>0</v>
      </c>
      <c r="P18" s="69">
        <v>79.67</v>
      </c>
      <c r="Q18" s="70">
        <v>0</v>
      </c>
      <c r="R18" s="69">
        <v>3957.93</v>
      </c>
      <c r="S18" s="70">
        <v>1.1422788847064901E-2</v>
      </c>
      <c r="T18" s="69">
        <v>989.48</v>
      </c>
      <c r="U18" s="70">
        <v>1.14176488025269E-2</v>
      </c>
      <c r="V18" s="69">
        <v>2968.45</v>
      </c>
      <c r="W18" s="70">
        <v>1.14210560388152E-2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00486-ED84-4235-857E-4A7CF368471B}">
  <dimension ref="B2:B15"/>
  <sheetViews>
    <sheetView showGridLines="0" workbookViewId="0">
      <selection activeCell="D4" sqref="D4"/>
    </sheetView>
  </sheetViews>
  <sheetFormatPr defaultRowHeight="14.5" x14ac:dyDescent="0.35"/>
  <sheetData>
    <row r="2" spans="2:2" ht="17.5" x14ac:dyDescent="0.35">
      <c r="B2" s="55" t="s">
        <v>244</v>
      </c>
    </row>
    <row r="4" spans="2:2" x14ac:dyDescent="0.35">
      <c r="B4" t="s">
        <v>245</v>
      </c>
    </row>
    <row r="6" spans="2:2" x14ac:dyDescent="0.35">
      <c r="B6" s="2" t="s">
        <v>246</v>
      </c>
    </row>
    <row r="7" spans="2:2" x14ac:dyDescent="0.35">
      <c r="B7" s="56"/>
    </row>
    <row r="8" spans="2:2" x14ac:dyDescent="0.35">
      <c r="B8" s="57" t="s">
        <v>247</v>
      </c>
    </row>
    <row r="9" spans="2:2" x14ac:dyDescent="0.35">
      <c r="B9" s="57" t="s">
        <v>248</v>
      </c>
    </row>
    <row r="10" spans="2:2" x14ac:dyDescent="0.35">
      <c r="B10" s="57" t="s">
        <v>249</v>
      </c>
    </row>
    <row r="11" spans="2:2" x14ac:dyDescent="0.35">
      <c r="B11" s="57" t="s">
        <v>250</v>
      </c>
    </row>
    <row r="12" spans="2:2" x14ac:dyDescent="0.35">
      <c r="B12" s="57" t="s">
        <v>251</v>
      </c>
    </row>
    <row r="13" spans="2:2" x14ac:dyDescent="0.35">
      <c r="B13" s="57" t="s">
        <v>252</v>
      </c>
    </row>
    <row r="15" spans="2:2" x14ac:dyDescent="0.35">
      <c r="B15" s="2" t="s">
        <v>253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3F1BB-0E99-4731-A845-29CB1D639F10}">
  <dimension ref="A1:AR7"/>
  <sheetViews>
    <sheetView tabSelected="1" topLeftCell="AG1" workbookViewId="0">
      <selection activeCell="AK11" sqref="AK11"/>
    </sheetView>
  </sheetViews>
  <sheetFormatPr defaultRowHeight="14.5" x14ac:dyDescent="0.35"/>
  <cols>
    <col min="1" max="1" width="6.90625" bestFit="1" customWidth="1"/>
    <col min="2" max="2" width="13.7265625" bestFit="1" customWidth="1"/>
    <col min="3" max="3" width="14.36328125" bestFit="1" customWidth="1"/>
    <col min="4" max="4" width="15.7265625" bestFit="1" customWidth="1"/>
    <col min="5" max="5" width="10.54296875" bestFit="1" customWidth="1"/>
    <col min="6" max="6" width="14.26953125" bestFit="1" customWidth="1"/>
    <col min="7" max="7" width="14.08984375" bestFit="1" customWidth="1"/>
    <col min="8" max="8" width="9.453125" bestFit="1" customWidth="1"/>
    <col min="9" max="9" width="11.36328125" bestFit="1" customWidth="1"/>
    <col min="10" max="10" width="19.90625" bestFit="1" customWidth="1"/>
    <col min="11" max="11" width="20.54296875" bestFit="1" customWidth="1"/>
    <col min="12" max="12" width="10.90625" bestFit="1" customWidth="1"/>
    <col min="13" max="13" width="12.90625" bestFit="1" customWidth="1"/>
    <col min="14" max="14" width="10.08984375" bestFit="1" customWidth="1"/>
    <col min="15" max="15" width="10.7265625" bestFit="1" customWidth="1"/>
    <col min="16" max="16" width="12.08984375" bestFit="1" customWidth="1"/>
    <col min="17" max="17" width="13.6328125" bestFit="1" customWidth="1"/>
    <col min="18" max="18" width="18.08984375" bestFit="1" customWidth="1"/>
    <col min="19" max="19" width="18.6328125" bestFit="1" customWidth="1"/>
    <col min="20" max="20" width="11.1796875" bestFit="1" customWidth="1"/>
    <col min="21" max="21" width="13.6328125" bestFit="1" customWidth="1"/>
    <col min="22" max="22" width="13" bestFit="1" customWidth="1"/>
    <col min="23" max="23" width="13.6328125" bestFit="1" customWidth="1"/>
    <col min="24" max="24" width="9" bestFit="1" customWidth="1"/>
    <col min="25" max="25" width="10.90625" bestFit="1" customWidth="1"/>
    <col min="26" max="26" width="9.54296875" bestFit="1" customWidth="1"/>
    <col min="27" max="27" width="10.1796875" bestFit="1" customWidth="1"/>
    <col min="28" max="28" width="11.08984375" bestFit="1" customWidth="1"/>
    <col min="29" max="29" width="13.08984375" bestFit="1" customWidth="1"/>
    <col min="30" max="30" width="9.6328125" bestFit="1" customWidth="1"/>
    <col min="31" max="31" width="10.26953125" bestFit="1" customWidth="1"/>
    <col min="32" max="32" width="9.453125" bestFit="1" customWidth="1"/>
    <col min="33" max="33" width="11.36328125" bestFit="1" customWidth="1"/>
    <col min="35" max="35" width="9.36328125" bestFit="1" customWidth="1"/>
    <col min="36" max="36" width="10.81640625" bestFit="1" customWidth="1"/>
    <col min="37" max="37" width="12.6328125" bestFit="1" customWidth="1"/>
    <col min="38" max="38" width="17.7265625" bestFit="1" customWidth="1"/>
    <col min="39" max="39" width="15.6328125" bestFit="1" customWidth="1"/>
    <col min="40" max="40" width="12.6328125" bestFit="1" customWidth="1"/>
    <col min="41" max="41" width="10.1796875" bestFit="1" customWidth="1"/>
    <col min="42" max="42" width="16.81640625" bestFit="1" customWidth="1"/>
  </cols>
  <sheetData>
    <row r="1" spans="1:44" x14ac:dyDescent="0.35">
      <c r="A1" t="s">
        <v>254</v>
      </c>
      <c r="B1" t="s">
        <v>255</v>
      </c>
      <c r="C1" t="s">
        <v>257</v>
      </c>
      <c r="D1" t="s">
        <v>256</v>
      </c>
      <c r="E1" t="s">
        <v>258</v>
      </c>
      <c r="F1" t="s">
        <v>129</v>
      </c>
      <c r="G1" t="s">
        <v>130</v>
      </c>
      <c r="H1" t="s">
        <v>260</v>
      </c>
      <c r="I1" t="s">
        <v>259</v>
      </c>
      <c r="J1" t="s">
        <v>131</v>
      </c>
      <c r="K1" t="s">
        <v>132</v>
      </c>
      <c r="L1" t="s">
        <v>261</v>
      </c>
      <c r="M1" t="s">
        <v>262</v>
      </c>
      <c r="N1" t="s">
        <v>137</v>
      </c>
      <c r="O1" t="s">
        <v>138</v>
      </c>
      <c r="P1" t="s">
        <v>263</v>
      </c>
      <c r="Q1" t="s">
        <v>264</v>
      </c>
      <c r="R1" t="s">
        <v>149</v>
      </c>
      <c r="S1" t="s">
        <v>150</v>
      </c>
      <c r="T1" t="s">
        <v>265</v>
      </c>
      <c r="U1" t="s">
        <v>266</v>
      </c>
      <c r="V1" t="s">
        <v>153</v>
      </c>
      <c r="W1" t="s">
        <v>154</v>
      </c>
      <c r="X1" t="s">
        <v>267</v>
      </c>
      <c r="Y1" t="s">
        <v>268</v>
      </c>
      <c r="Z1" t="s">
        <v>161</v>
      </c>
      <c r="AA1" t="s">
        <v>162</v>
      </c>
      <c r="AB1" t="s">
        <v>269</v>
      </c>
      <c r="AC1" t="s">
        <v>270</v>
      </c>
      <c r="AD1" t="s">
        <v>168</v>
      </c>
      <c r="AE1" t="s">
        <v>169</v>
      </c>
      <c r="AF1" t="s">
        <v>271</v>
      </c>
      <c r="AG1" t="s">
        <v>272</v>
      </c>
      <c r="AH1" t="s">
        <v>177</v>
      </c>
      <c r="AI1" t="s">
        <v>178</v>
      </c>
      <c r="AJ1" t="s">
        <v>273</v>
      </c>
      <c r="AK1" t="s">
        <v>274</v>
      </c>
      <c r="AL1" t="s">
        <v>275</v>
      </c>
      <c r="AM1" t="s">
        <v>276</v>
      </c>
      <c r="AN1" t="s">
        <v>277</v>
      </c>
      <c r="AO1" t="s">
        <v>278</v>
      </c>
      <c r="AP1" t="s">
        <v>279</v>
      </c>
      <c r="AQ1" t="s">
        <v>280</v>
      </c>
      <c r="AR1" t="s">
        <v>233</v>
      </c>
    </row>
    <row r="2" spans="1:44" x14ac:dyDescent="0.35">
      <c r="A2" s="25">
        <f>'Other Income'!B4</f>
        <v>45930</v>
      </c>
      <c r="B2" s="52">
        <f>BMetricudget_VS_Actuales!C5</f>
        <v>15919</v>
      </c>
      <c r="C2" s="52">
        <f>BMetricudget_VS_Actuales!D5</f>
        <v>15874.186507073426</v>
      </c>
      <c r="D2" s="52">
        <f>B2-C2</f>
        <v>44.813492926574327</v>
      </c>
      <c r="E2" s="32">
        <f>(B2-C2)/C2*1</f>
        <v>2.8230418551908627E-3</v>
      </c>
      <c r="F2" s="52">
        <v>12137</v>
      </c>
      <c r="G2" s="52">
        <v>12131.293829979091</v>
      </c>
      <c r="H2" s="52">
        <v>5.7061700209087576</v>
      </c>
      <c r="I2" s="32">
        <v>4.70367802551081E-4</v>
      </c>
      <c r="J2" s="52">
        <v>3782</v>
      </c>
      <c r="K2" s="52">
        <v>3742.8926770943344</v>
      </c>
      <c r="L2" s="52">
        <v>39.107322905665569</v>
      </c>
      <c r="M2" s="32">
        <v>1.0448422190941683E-2</v>
      </c>
      <c r="N2" s="52">
        <v>3460</v>
      </c>
      <c r="O2" s="52">
        <v>3411.4546414941078</v>
      </c>
      <c r="P2" s="52">
        <v>48.545358505892182</v>
      </c>
      <c r="Q2" s="32">
        <v>1.4230105221223421E-2</v>
      </c>
      <c r="R2" s="52">
        <v>269</v>
      </c>
      <c r="S2" s="52">
        <v>290.5879581890386</v>
      </c>
      <c r="T2" s="52">
        <v>-21.587958189038602</v>
      </c>
      <c r="U2" s="32">
        <v>-7.4290615218799996E-2</v>
      </c>
      <c r="V2" s="52">
        <v>124</v>
      </c>
      <c r="W2" s="52">
        <v>104.63703473642151</v>
      </c>
      <c r="X2" s="52">
        <v>19.362965263578488</v>
      </c>
      <c r="Y2" s="32">
        <v>0.18504887215461896</v>
      </c>
      <c r="Z2" s="52">
        <v>3605</v>
      </c>
      <c r="AA2" s="52">
        <v>3597.405564946725</v>
      </c>
      <c r="AB2" s="52">
        <v>7.5944350532749922</v>
      </c>
      <c r="AC2" s="32">
        <v>2.111086702949341E-3</v>
      </c>
      <c r="AD2" s="52">
        <v>911</v>
      </c>
      <c r="AE2" s="52">
        <v>876.67301372889506</v>
      </c>
      <c r="AF2" s="52">
        <v>34.326986271104943</v>
      </c>
      <c r="AG2" s="32">
        <v>3.915597461486401E-2</v>
      </c>
      <c r="AH2" s="52">
        <v>2694</v>
      </c>
      <c r="AI2" s="52">
        <v>2720.73255121783</v>
      </c>
      <c r="AJ2" s="52">
        <v>-26.73255121782995</v>
      </c>
      <c r="AK2" s="32">
        <v>-9.8254976241101549E-3</v>
      </c>
      <c r="AL2" s="71">
        <f>B3/B2-1</f>
        <v>3.2791004460079209E-2</v>
      </c>
      <c r="AM2" s="71">
        <f>J3/J2-1</f>
        <v>-2.6441036488633607E-4</v>
      </c>
      <c r="AN2" s="71">
        <f>O3/O2-1</f>
        <v>7.4371077662898077E-3</v>
      </c>
      <c r="AO2" s="71">
        <f>AH3/AH2-1</f>
        <v>1.4510022271714922</v>
      </c>
      <c r="AP2" s="71">
        <f>F3/F2-1</f>
        <v>3.1062041690697928E-2</v>
      </c>
      <c r="AQ2" s="71">
        <f>V3/V2-1</f>
        <v>-0.29032258064516125</v>
      </c>
      <c r="AR2" s="71">
        <f>AD3/AD2-1</f>
        <v>-0.12074643249176731</v>
      </c>
    </row>
    <row r="3" spans="1:44" x14ac:dyDescent="0.35">
      <c r="A3" s="25">
        <f>'Other Income'!B5</f>
        <v>46022</v>
      </c>
      <c r="B3" s="52">
        <f>BMetricudget_VS_Actuales!I5</f>
        <v>16441</v>
      </c>
      <c r="C3" s="52">
        <f>BMetricudget_VS_Actuales!J5</f>
        <v>15992.24454282871</v>
      </c>
      <c r="D3" s="52">
        <f t="shared" ref="D3:D5" si="0">B3-C3</f>
        <v>448.75545717128989</v>
      </c>
      <c r="E3" s="32">
        <f t="shared" ref="E3:E5" si="1">(B3-C3)/C3*1</f>
        <v>2.8060817602524855E-2</v>
      </c>
      <c r="F3" s="52">
        <v>12514</v>
      </c>
      <c r="G3" s="52">
        <v>12221.515569537169</v>
      </c>
      <c r="H3" s="52">
        <v>292.48443046283137</v>
      </c>
      <c r="I3" s="32">
        <v>2.3931927983781787E-2</v>
      </c>
      <c r="J3" s="52">
        <v>3781</v>
      </c>
      <c r="K3" s="52">
        <v>3770.7289732915415</v>
      </c>
      <c r="L3" s="52">
        <v>10.271026708458521</v>
      </c>
      <c r="M3" s="32">
        <v>2.7238835729667269E-3</v>
      </c>
      <c r="N3" s="52">
        <v>3444</v>
      </c>
      <c r="O3" s="52">
        <v>3436.8259973027089</v>
      </c>
      <c r="P3" s="52">
        <v>7.1740026972911437</v>
      </c>
      <c r="Q3" s="32">
        <v>2.0873918851060389E-3</v>
      </c>
      <c r="R3" s="52">
        <v>4048</v>
      </c>
      <c r="S3" s="52">
        <v>292.74909214967653</v>
      </c>
      <c r="T3" s="52">
        <v>3755.2509078503235</v>
      </c>
      <c r="U3" s="32">
        <v>12.827540745814993</v>
      </c>
      <c r="V3" s="52">
        <v>88</v>
      </c>
      <c r="W3" s="52">
        <v>105.41523164010125</v>
      </c>
      <c r="X3" s="52">
        <v>-17.415231640101254</v>
      </c>
      <c r="Y3" s="32">
        <v>-0.16520602733728931</v>
      </c>
      <c r="Z3" s="52">
        <v>7404</v>
      </c>
      <c r="AA3" s="52">
        <v>3624.1598578122839</v>
      </c>
      <c r="AB3" s="52">
        <v>3779.8401421877161</v>
      </c>
      <c r="AC3" s="32">
        <v>1.0429562410277917</v>
      </c>
      <c r="AD3" s="52">
        <v>801</v>
      </c>
      <c r="AE3" s="52">
        <v>883.19292540779463</v>
      </c>
      <c r="AF3" s="52">
        <v>-82.192925407794633</v>
      </c>
      <c r="AG3" s="32">
        <v>-9.3063387447135493E-2</v>
      </c>
      <c r="AH3" s="52">
        <v>6603</v>
      </c>
      <c r="AI3" s="52">
        <v>2740.9669324044894</v>
      </c>
      <c r="AJ3" s="52">
        <v>3862.0330675955106</v>
      </c>
      <c r="AK3" s="32">
        <v>1.4090038890792367</v>
      </c>
      <c r="AL3" s="71">
        <f>B4/B3-1</f>
        <v>-5.4741195791010444E-3</v>
      </c>
      <c r="AM3" s="71">
        <f>J4/J3-1</f>
        <v>1.4810896588204114E-2</v>
      </c>
      <c r="AN3" s="71">
        <f>O4/O3-1</f>
        <v>7.4371077662893637E-3</v>
      </c>
      <c r="AO3" s="71">
        <f>AH4/AH3-1</f>
        <v>-0.546569741026806</v>
      </c>
      <c r="AP3" s="71">
        <f>F4/F3-1</f>
        <v>7.0321240210963643E-2</v>
      </c>
      <c r="AQ3" s="71">
        <f>V4/V3-1</f>
        <v>-0.13636363636363635</v>
      </c>
      <c r="AR3" s="71">
        <f>AD4/AD3-1</f>
        <v>0.15106117353308357</v>
      </c>
    </row>
    <row r="4" spans="1:44" x14ac:dyDescent="0.35">
      <c r="A4" s="25">
        <f>'Other Income'!B6</f>
        <v>46112</v>
      </c>
      <c r="B4" s="52">
        <f>BMetricudget_VS_Actuales!O5</f>
        <v>16351</v>
      </c>
      <c r="C4" s="52">
        <f>BMetricudget_VS_Actuales!P5</f>
        <v>16111.180588918583</v>
      </c>
      <c r="D4" s="52">
        <f t="shared" si="0"/>
        <v>239.81941108141655</v>
      </c>
      <c r="E4" s="32">
        <f t="shared" si="1"/>
        <v>1.4885278565269545E-2</v>
      </c>
      <c r="F4" s="52">
        <v>13394</v>
      </c>
      <c r="G4" s="52">
        <v>12312.408297895203</v>
      </c>
      <c r="H4" s="52">
        <v>1081.5917021047972</v>
      </c>
      <c r="I4" s="32">
        <v>8.7845665603023773E-2</v>
      </c>
      <c r="J4" s="52">
        <v>3837</v>
      </c>
      <c r="K4" s="52">
        <v>3798.7722910233806</v>
      </c>
      <c r="L4" s="52">
        <v>38.227708976619397</v>
      </c>
      <c r="M4" s="32">
        <v>1.0063174638541164E-2</v>
      </c>
      <c r="N4" s="52">
        <v>3489</v>
      </c>
      <c r="O4" s="52">
        <v>3462.3860426186338</v>
      </c>
      <c r="P4" s="52">
        <v>26.613957381366163</v>
      </c>
      <c r="Q4" s="32">
        <v>7.6865944622506004E-3</v>
      </c>
      <c r="R4" s="52">
        <v>503</v>
      </c>
      <c r="S4" s="52">
        <v>294.92629869647709</v>
      </c>
      <c r="T4" s="52">
        <v>208.07370130352291</v>
      </c>
      <c r="U4" s="32">
        <v>0.70551084193974034</v>
      </c>
      <c r="V4" s="52">
        <v>76</v>
      </c>
      <c r="W4" s="52">
        <v>106.19921607801706</v>
      </c>
      <c r="X4" s="52">
        <v>-30.199216078017059</v>
      </c>
      <c r="Y4" s="32">
        <v>-0.28436383236418461</v>
      </c>
      <c r="Z4" s="52">
        <v>3916</v>
      </c>
      <c r="AA4" s="52">
        <v>3651.1131252370942</v>
      </c>
      <c r="AB4" s="52">
        <v>264.88687476290579</v>
      </c>
      <c r="AC4" s="32">
        <v>7.2549621355735089E-2</v>
      </c>
      <c r="AD4" s="52">
        <v>922</v>
      </c>
      <c r="AE4" s="52">
        <v>889.7613263724769</v>
      </c>
      <c r="AF4" s="52">
        <v>32.238673627523099</v>
      </c>
      <c r="AG4" s="32">
        <v>3.6232945478715001E-2</v>
      </c>
      <c r="AH4" s="52">
        <v>2994</v>
      </c>
      <c r="AI4" s="52">
        <v>2761.3517988646172</v>
      </c>
      <c r="AJ4" s="52">
        <v>232.64820113538281</v>
      </c>
      <c r="AK4" s="32">
        <v>8.4251561583366733E-2</v>
      </c>
      <c r="AL4" s="71">
        <f>B5/B4-1</f>
        <v>6.0546755550119347E-2</v>
      </c>
      <c r="AM4" s="71">
        <f>J5/J4-1</f>
        <v>2.8668230388324112E-2</v>
      </c>
      <c r="AN4" s="71">
        <f>O5/O4-1</f>
        <v>7.4371077662895857E-3</v>
      </c>
      <c r="AO4" s="71">
        <f>AH5/AH4-1</f>
        <v>-0.10487641950567805</v>
      </c>
      <c r="AP4" s="71">
        <f>F5/F4-1</f>
        <v>0</v>
      </c>
      <c r="AQ4" s="71">
        <f>V5/V4-1</f>
        <v>-1.3157894736842146E-2</v>
      </c>
      <c r="AR4" s="71">
        <f>AD5/AD4-1</f>
        <v>3.2537960954446943E-2</v>
      </c>
    </row>
    <row r="5" spans="1:44" x14ac:dyDescent="0.35">
      <c r="A5" s="25">
        <f>'Other Income'!B7</f>
        <v>46203</v>
      </c>
      <c r="B5" s="52">
        <f>BMetricudget_VS_Actuales!U5</f>
        <v>17341</v>
      </c>
      <c r="C5" s="52">
        <f>BMetricudget_VS_Actuales!V5</f>
        <v>16231.001175200523</v>
      </c>
      <c r="D5" s="52">
        <f t="shared" si="0"/>
        <v>1109.998824799477</v>
      </c>
      <c r="E5" s="32">
        <f t="shared" si="1"/>
        <v>6.8387575899843636E-2</v>
      </c>
      <c r="F5" s="52">
        <v>13394</v>
      </c>
      <c r="G5" s="52">
        <v>12403.977005269207</v>
      </c>
      <c r="H5" s="52">
        <v>990.02299473079256</v>
      </c>
      <c r="I5" s="32">
        <v>7.9814965338151703E-2</v>
      </c>
      <c r="J5" s="52">
        <v>3947</v>
      </c>
      <c r="K5" s="52">
        <v>3827.0241699313156</v>
      </c>
      <c r="L5" s="52">
        <v>119.97583006868444</v>
      </c>
      <c r="M5" s="32">
        <v>3.134964001830113E-2</v>
      </c>
      <c r="N5" s="52">
        <v>3594</v>
      </c>
      <c r="O5" s="52">
        <v>3488.1361807460853</v>
      </c>
      <c r="P5" s="52">
        <v>105.8638192539147</v>
      </c>
      <c r="Q5" s="32">
        <v>3.0349680679975989E-2</v>
      </c>
      <c r="R5" s="52">
        <v>113</v>
      </c>
      <c r="S5" s="52">
        <v>297.11969736299568</v>
      </c>
      <c r="T5" s="52">
        <v>-184.11969736299568</v>
      </c>
      <c r="U5" s="32">
        <v>-0.61968189587260458</v>
      </c>
      <c r="V5" s="52">
        <v>75</v>
      </c>
      <c r="W5" s="52">
        <v>106.98903109268474</v>
      </c>
      <c r="X5" s="52">
        <v>-31.989031092684741</v>
      </c>
      <c r="Y5" s="32">
        <v>-0.29899355818048862</v>
      </c>
      <c r="Z5" s="52">
        <v>3632</v>
      </c>
      <c r="AA5" s="52">
        <v>3678.2668470163962</v>
      </c>
      <c r="AB5" s="52">
        <v>-46.266847016396241</v>
      </c>
      <c r="AC5" s="32">
        <v>-1.2578436785771896E-2</v>
      </c>
      <c r="AD5" s="52">
        <v>952</v>
      </c>
      <c r="AE5" s="52">
        <v>896.37857724298578</v>
      </c>
      <c r="AF5" s="52">
        <v>55.621422757014216</v>
      </c>
      <c r="AG5" s="32">
        <v>6.2051262902880197E-2</v>
      </c>
      <c r="AH5" s="52">
        <v>2680</v>
      </c>
      <c r="AI5" s="52">
        <v>2781.8882697734107</v>
      </c>
      <c r="AJ5" s="52">
        <v>-101.88826977341068</v>
      </c>
      <c r="AK5" s="32">
        <v>-3.6625579424046976E-2</v>
      </c>
    </row>
    <row r="6" spans="1:44" x14ac:dyDescent="0.35">
      <c r="A6" s="25"/>
      <c r="AM6" s="5"/>
      <c r="AN6" s="5"/>
      <c r="AR6" s="5"/>
    </row>
    <row r="7" spans="1:44" x14ac:dyDescent="0.35">
      <c r="AO7" s="5"/>
      <c r="AQ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</vt:i4>
      </vt:variant>
    </vt:vector>
  </HeadingPairs>
  <TitlesOfParts>
    <vt:vector size="24" baseType="lpstr">
      <vt:lpstr>Profit &amp; Loss</vt:lpstr>
      <vt:lpstr>Balance Sheet</vt:lpstr>
      <vt:lpstr>Cash Flow</vt:lpstr>
      <vt:lpstr>Customization</vt:lpstr>
      <vt:lpstr>Data Sheet</vt:lpstr>
      <vt:lpstr>Histarical </vt:lpstr>
      <vt:lpstr>Budget_Assumptions</vt:lpstr>
      <vt:lpstr>Budgets</vt:lpstr>
      <vt:lpstr>Quarters</vt:lpstr>
      <vt:lpstr>Revenue Analysis</vt:lpstr>
      <vt:lpstr>Cost Analysis</vt:lpstr>
      <vt:lpstr>Operating ProfitAnalysis</vt:lpstr>
      <vt:lpstr>EBIT Analysis</vt:lpstr>
      <vt:lpstr>Other Income</vt:lpstr>
      <vt:lpstr>Intrest Exp</vt:lpstr>
      <vt:lpstr>EBT</vt:lpstr>
      <vt:lpstr>TAX</vt:lpstr>
      <vt:lpstr>Net Profit</vt:lpstr>
      <vt:lpstr>Executive Summary </vt:lpstr>
      <vt:lpstr>BMetricudget_VS_Actuales</vt:lpstr>
      <vt:lpstr>Rolling Forecasting</vt:lpstr>
      <vt:lpstr>RF Summary</vt:lpstr>
      <vt:lpstr>Dashbord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koteswara rao</cp:lastModifiedBy>
  <cp:lastPrinted>2012-12-06T18:14:13Z</cp:lastPrinted>
  <dcterms:created xsi:type="dcterms:W3CDTF">2012-08-17T09:55:37Z</dcterms:created>
  <dcterms:modified xsi:type="dcterms:W3CDTF">2026-09-26T02:23:58Z</dcterms:modified>
</cp:coreProperties>
</file>